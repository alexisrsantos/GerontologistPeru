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rs39_psu_edu/Documents/Documents/"/>
    </mc:Choice>
  </mc:AlternateContent>
  <xr:revisionPtr revIDLastSave="15" documentId="13_ncr:1_{619CAF5C-C78D-5B4B-B1CA-E0ED194AA428}" xr6:coauthVersionLast="47" xr6:coauthVersionMax="47" xr10:uidLastSave="{FA8D2524-83CE-4840-BD74-E3B79962D9B5}"/>
  <bookViews>
    <workbookView xWindow="1560" yWindow="1560" windowWidth="16545" windowHeight="9570" xr2:uid="{00000000-000D-0000-FFFF-FFFF00000000}"/>
  </bookViews>
  <sheets>
    <sheet name="Estimates" sheetId="7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7" l="1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2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2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2" i="7"/>
</calcChain>
</file>

<file path=xl/sharedStrings.xml><?xml version="1.0" encoding="utf-8"?>
<sst xmlns="http://schemas.openxmlformats.org/spreadsheetml/2006/main" count="31" uniqueCount="31">
  <si>
    <t>Year</t>
  </si>
  <si>
    <t>Pop_July</t>
  </si>
  <si>
    <t>Male_Pop</t>
  </si>
  <si>
    <t>Female_Pop</t>
  </si>
  <si>
    <t>Pop_Density</t>
  </si>
  <si>
    <t>Sex_Ratio</t>
  </si>
  <si>
    <t>Median_Age</t>
  </si>
  <si>
    <t>NatChange</t>
  </si>
  <si>
    <t>RNC</t>
  </si>
  <si>
    <t>Pop_change</t>
  </si>
  <si>
    <t>Pop_growth_Rate</t>
  </si>
  <si>
    <t>Doubling_Time</t>
  </si>
  <si>
    <t>Births_thous</t>
  </si>
  <si>
    <t>CBR_per1000</t>
  </si>
  <si>
    <t>TFR</t>
  </si>
  <si>
    <t>NRR</t>
  </si>
  <si>
    <t>Med_age_childb</t>
  </si>
  <si>
    <t>Sex_Ratio_Birth</t>
  </si>
  <si>
    <t>Deaths_thous</t>
  </si>
  <si>
    <t>Male_deaths_thous</t>
  </si>
  <si>
    <t>Female_deaths_thous</t>
  </si>
  <si>
    <t>CDR_per1000</t>
  </si>
  <si>
    <t>Lex_age65</t>
  </si>
  <si>
    <t>Lex_age0</t>
  </si>
  <si>
    <t>Pop0_19</t>
  </si>
  <si>
    <t>Pop_2064</t>
  </si>
  <si>
    <t>Pop_65plus</t>
  </si>
  <si>
    <t>DepRatio</t>
  </si>
  <si>
    <t>ChildDepRatio</t>
  </si>
  <si>
    <t>OldDepRatio</t>
  </si>
  <si>
    <t>AgingIndex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</si>
</sst>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#\ ##0;\-#\ ###\ ###\ ##0;0"/>
    <numFmt numFmtId="165" formatCode="##0.0;\-##0.0;0"/>
    <numFmt numFmtId="166" formatCode="##0.00;\-##0.00;0"/>
  </numFmts>
  <fonts count="3" x14ac:knownFonts="1"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5"/>
  <sheetViews>
    <sheetView tabSelected="1" workbookViewId="0">
      <pane xSplit="1" ySplit="1" topLeftCell="T2" activePane="bottomRight" state="frozen"/>
      <selection pane="topRight" activeCell="I1" sqref="I1"/>
      <selection pane="bottomLeft" activeCell="A18" sqref="A18"/>
      <selection pane="bottomRight" activeCell="AE2" sqref="AE2:AE75"/>
    </sheetView>
  </sheetViews>
  <sheetFormatPr defaultColWidth="9.1640625" defaultRowHeight="11.25" x14ac:dyDescent="0.2"/>
  <cols>
    <col min="1" max="1" width="12.6640625" customWidth="1"/>
    <col min="2" max="4" width="15.6640625" customWidth="1"/>
    <col min="5" max="5" width="18.6640625" customWidth="1"/>
    <col min="6" max="6" width="16.6640625" customWidth="1"/>
    <col min="7" max="7" width="12.6640625" customWidth="1"/>
    <col min="8" max="8" width="18.6640625" customWidth="1"/>
    <col min="9" max="9" width="17.6640625" customWidth="1"/>
    <col min="10" max="10" width="14.6640625" customWidth="1"/>
    <col min="11" max="11" width="13.5" customWidth="1"/>
    <col min="12" max="12" width="12.6640625" customWidth="1"/>
    <col min="13" max="13" width="16.6640625" customWidth="1"/>
    <col min="14" max="14" width="14.6640625" customWidth="1"/>
    <col min="15" max="15" width="15.6640625" customWidth="1"/>
    <col min="16" max="16" width="16.6640625" customWidth="1"/>
    <col min="17" max="21" width="15.6640625" customWidth="1"/>
    <col min="22" max="22" width="13.6640625" customWidth="1"/>
    <col min="23" max="24" width="14.6640625" customWidth="1"/>
    <col min="25" max="25" width="10.6640625" bestFit="1" customWidth="1"/>
    <col min="26" max="26" width="12" bestFit="1" customWidth="1"/>
    <col min="27" max="27" width="14" bestFit="1" customWidth="1"/>
    <col min="29" max="29" width="14.5" bestFit="1" customWidth="1"/>
  </cols>
  <sheetData>
    <row r="1" spans="1:31" ht="24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23</v>
      </c>
      <c r="X1" s="4" t="s">
        <v>22</v>
      </c>
      <c r="Y1" s="8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</row>
    <row r="2" spans="1:31" ht="12" x14ac:dyDescent="0.2">
      <c r="A2" s="1">
        <v>1950</v>
      </c>
      <c r="B2" s="5">
        <v>7677.4139999999998</v>
      </c>
      <c r="C2" s="5">
        <v>3856.3890000000001</v>
      </c>
      <c r="D2" s="5">
        <v>3821.0259999999998</v>
      </c>
      <c r="E2" s="6">
        <v>5.9980000000000002</v>
      </c>
      <c r="F2" s="6">
        <v>100.925</v>
      </c>
      <c r="G2" s="6">
        <v>17.891999999999999</v>
      </c>
      <c r="H2" s="5">
        <v>212.55500000000001</v>
      </c>
      <c r="I2" s="6">
        <v>27.686</v>
      </c>
      <c r="J2" s="5">
        <v>212.45599999999999</v>
      </c>
      <c r="K2" s="7">
        <v>2.7669999999999999</v>
      </c>
      <c r="L2" s="6">
        <v>25.05</v>
      </c>
      <c r="M2" s="5">
        <v>368.54500000000002</v>
      </c>
      <c r="N2" s="6">
        <v>48.003999999999998</v>
      </c>
      <c r="O2" s="7">
        <v>6.9390000000000001</v>
      </c>
      <c r="P2" s="7">
        <v>2.2709999999999999</v>
      </c>
      <c r="Q2" s="6">
        <v>29.523</v>
      </c>
      <c r="R2" s="5">
        <v>104.2</v>
      </c>
      <c r="S2" s="5">
        <v>155.99</v>
      </c>
      <c r="T2" s="5">
        <v>81.728999999999999</v>
      </c>
      <c r="U2" s="5">
        <v>74.260999999999996</v>
      </c>
      <c r="V2" s="6">
        <v>20.318000000000001</v>
      </c>
      <c r="W2" s="6">
        <v>46.031999999999996</v>
      </c>
      <c r="X2" s="6">
        <v>11.898999999999999</v>
      </c>
      <c r="Y2" s="5">
        <v>3999.8820000000001</v>
      </c>
      <c r="Z2" s="5">
        <v>3414.3919999999998</v>
      </c>
      <c r="AA2" s="5">
        <v>263.14</v>
      </c>
      <c r="AB2">
        <f>(Y2+AA2)/Z2*100</f>
        <v>124.85449825327615</v>
      </c>
      <c r="AC2">
        <f>Y2/Z2*100</f>
        <v>117.14770887466935</v>
      </c>
      <c r="AD2">
        <f>AA2/Z2*100</f>
        <v>7.7067893786067918</v>
      </c>
      <c r="AE2">
        <f>AA2/Y2*100</f>
        <v>6.5786940714751081</v>
      </c>
    </row>
    <row r="3" spans="1:31" ht="12" x14ac:dyDescent="0.2">
      <c r="A3" s="1">
        <v>1951</v>
      </c>
      <c r="B3" s="5">
        <v>7893.62</v>
      </c>
      <c r="C3" s="5">
        <v>3964.5230000000001</v>
      </c>
      <c r="D3" s="5">
        <v>3929.0970000000002</v>
      </c>
      <c r="E3" s="6">
        <v>6.1660000000000004</v>
      </c>
      <c r="F3" s="6">
        <v>100.902</v>
      </c>
      <c r="G3" s="6">
        <v>17.850999999999999</v>
      </c>
      <c r="H3" s="5">
        <v>220.399</v>
      </c>
      <c r="I3" s="6">
        <v>27.920999999999999</v>
      </c>
      <c r="J3" s="5">
        <v>219.95599999999999</v>
      </c>
      <c r="K3" s="7">
        <v>2.7869999999999999</v>
      </c>
      <c r="L3" s="6">
        <v>24.870999999999999</v>
      </c>
      <c r="M3" s="5">
        <v>378.702</v>
      </c>
      <c r="N3" s="6">
        <v>47.975999999999999</v>
      </c>
      <c r="O3" s="7">
        <v>6.9420000000000002</v>
      </c>
      <c r="P3" s="7">
        <v>2.2890000000000001</v>
      </c>
      <c r="Q3" s="6">
        <v>29.527999999999999</v>
      </c>
      <c r="R3" s="5">
        <v>104.2</v>
      </c>
      <c r="S3" s="5">
        <v>158.303</v>
      </c>
      <c r="T3" s="5">
        <v>82.983999999999995</v>
      </c>
      <c r="U3" s="5">
        <v>75.319000000000003</v>
      </c>
      <c r="V3" s="6">
        <v>20.055</v>
      </c>
      <c r="W3" s="6">
        <v>46.463000000000001</v>
      </c>
      <c r="X3" s="6">
        <v>11.989000000000001</v>
      </c>
      <c r="Y3" s="5">
        <v>4119.7610000000004</v>
      </c>
      <c r="Z3" s="5">
        <v>3501.828</v>
      </c>
      <c r="AA3" s="5">
        <v>272.03100000000001</v>
      </c>
      <c r="AB3">
        <f t="shared" ref="AB3:AB66" si="0">(Y3+AA3)/Z3*100</f>
        <v>125.41426934732375</v>
      </c>
      <c r="AC3">
        <f t="shared" ref="AC3:AC66" si="1">Y3/Z3*100</f>
        <v>117.64601231128428</v>
      </c>
      <c r="AD3">
        <f t="shared" ref="AD3:AD66" si="2">AA3/Z3*100</f>
        <v>7.768257036039464</v>
      </c>
      <c r="AE3">
        <f t="shared" ref="AE3:AE66" si="3">AA3/Y3*100</f>
        <v>6.603077217343432</v>
      </c>
    </row>
    <row r="4" spans="1:31" ht="12" x14ac:dyDescent="0.2">
      <c r="A4" s="1">
        <v>1952</v>
      </c>
      <c r="B4" s="5">
        <v>8116.6629999999996</v>
      </c>
      <c r="C4" s="5">
        <v>4076.0810000000001</v>
      </c>
      <c r="D4" s="5">
        <v>4040.5810000000001</v>
      </c>
      <c r="E4" s="6">
        <v>6.3410000000000002</v>
      </c>
      <c r="F4" s="6">
        <v>100.879</v>
      </c>
      <c r="G4" s="6">
        <v>17.809000000000001</v>
      </c>
      <c r="H4" s="5">
        <v>228.054</v>
      </c>
      <c r="I4" s="6">
        <v>28.097000000000001</v>
      </c>
      <c r="J4" s="5">
        <v>226.13</v>
      </c>
      <c r="K4" s="7">
        <v>2.786</v>
      </c>
      <c r="L4" s="6">
        <v>24.88</v>
      </c>
      <c r="M4" s="5">
        <v>389.36799999999999</v>
      </c>
      <c r="N4" s="6">
        <v>47.970999999999997</v>
      </c>
      <c r="O4" s="7">
        <v>6.9480000000000004</v>
      </c>
      <c r="P4" s="7">
        <v>2.3050000000000002</v>
      </c>
      <c r="Q4" s="6">
        <v>29.533000000000001</v>
      </c>
      <c r="R4" s="5">
        <v>104.2</v>
      </c>
      <c r="S4" s="5">
        <v>161.31399999999999</v>
      </c>
      <c r="T4" s="5">
        <v>84.596000000000004</v>
      </c>
      <c r="U4" s="5">
        <v>76.718000000000004</v>
      </c>
      <c r="V4" s="6">
        <v>19.873999999999999</v>
      </c>
      <c r="W4" s="6">
        <v>46.762</v>
      </c>
      <c r="X4" s="6">
        <v>12</v>
      </c>
      <c r="Y4" s="5">
        <v>4243.1085000000003</v>
      </c>
      <c r="Z4" s="5">
        <v>3591.6275000000001</v>
      </c>
      <c r="AA4" s="5">
        <v>281.92700000000002</v>
      </c>
      <c r="AB4">
        <f t="shared" si="0"/>
        <v>125.9884411732564</v>
      </c>
      <c r="AC4">
        <f t="shared" si="1"/>
        <v>118.13887993674177</v>
      </c>
      <c r="AD4">
        <f t="shared" si="2"/>
        <v>7.8495612365146448</v>
      </c>
      <c r="AE4">
        <f t="shared" si="3"/>
        <v>6.6443504803141371</v>
      </c>
    </row>
    <row r="5" spans="1:31" ht="12" x14ac:dyDescent="0.2">
      <c r="A5" s="1">
        <v>1953</v>
      </c>
      <c r="B5" s="5">
        <v>8344.8989999999994</v>
      </c>
      <c r="C5" s="5">
        <v>4190.2510000000002</v>
      </c>
      <c r="D5" s="5">
        <v>4154.6480000000001</v>
      </c>
      <c r="E5" s="6">
        <v>6.5190000000000001</v>
      </c>
      <c r="F5" s="6">
        <v>100.857</v>
      </c>
      <c r="G5" s="6">
        <v>17.754000000000001</v>
      </c>
      <c r="H5" s="5">
        <v>236.12200000000001</v>
      </c>
      <c r="I5" s="6">
        <v>28.295000000000002</v>
      </c>
      <c r="J5" s="5">
        <v>230.34200000000001</v>
      </c>
      <c r="K5" s="7">
        <v>2.76</v>
      </c>
      <c r="L5" s="6">
        <v>25.114000000000001</v>
      </c>
      <c r="M5" s="5">
        <v>400.17899999999997</v>
      </c>
      <c r="N5" s="6">
        <v>47.954999999999998</v>
      </c>
      <c r="O5" s="7">
        <v>6.9530000000000003</v>
      </c>
      <c r="P5" s="7">
        <v>2.3210000000000002</v>
      </c>
      <c r="Q5" s="6">
        <v>29.538</v>
      </c>
      <c r="R5" s="5">
        <v>104.2</v>
      </c>
      <c r="S5" s="5">
        <v>164.05699999999999</v>
      </c>
      <c r="T5" s="5">
        <v>86.052000000000007</v>
      </c>
      <c r="U5" s="5">
        <v>78.004000000000005</v>
      </c>
      <c r="V5" s="6">
        <v>19.66</v>
      </c>
      <c r="W5" s="6">
        <v>47.1</v>
      </c>
      <c r="X5" s="6">
        <v>12.016999999999999</v>
      </c>
      <c r="Y5" s="5">
        <v>4370.2815000000001</v>
      </c>
      <c r="Z5" s="5">
        <v>3682.1374999999998</v>
      </c>
      <c r="AA5" s="5">
        <v>292.48</v>
      </c>
      <c r="AB5">
        <f t="shared" si="0"/>
        <v>126.63192235488221</v>
      </c>
      <c r="AC5">
        <f t="shared" si="1"/>
        <v>118.68871002237151</v>
      </c>
      <c r="AD5">
        <f t="shared" si="2"/>
        <v>7.9432123325106687</v>
      </c>
      <c r="AE5">
        <f t="shared" si="3"/>
        <v>6.6924750728299776</v>
      </c>
    </row>
    <row r="6" spans="1:31" ht="12" x14ac:dyDescent="0.2">
      <c r="A6" s="1">
        <v>1954</v>
      </c>
      <c r="B6" s="5">
        <v>8579.31</v>
      </c>
      <c r="C6" s="5">
        <v>4307.4970000000003</v>
      </c>
      <c r="D6" s="5">
        <v>4271.8130000000001</v>
      </c>
      <c r="E6" s="6">
        <v>6.702</v>
      </c>
      <c r="F6" s="6">
        <v>100.83499999999999</v>
      </c>
      <c r="G6" s="6">
        <v>17.684999999999999</v>
      </c>
      <c r="H6" s="5">
        <v>244.374</v>
      </c>
      <c r="I6" s="6">
        <v>28.484999999999999</v>
      </c>
      <c r="J6" s="5">
        <v>238.48</v>
      </c>
      <c r="K6" s="7">
        <v>2.78</v>
      </c>
      <c r="L6" s="6">
        <v>24.933</v>
      </c>
      <c r="M6" s="5">
        <v>410.851</v>
      </c>
      <c r="N6" s="6">
        <v>47.889000000000003</v>
      </c>
      <c r="O6" s="7">
        <v>6.9569999999999999</v>
      </c>
      <c r="P6" s="7">
        <v>2.339</v>
      </c>
      <c r="Q6" s="6">
        <v>29.544</v>
      </c>
      <c r="R6" s="5">
        <v>104.2</v>
      </c>
      <c r="S6" s="5">
        <v>166.477</v>
      </c>
      <c r="T6" s="5">
        <v>87.415999999999997</v>
      </c>
      <c r="U6" s="5">
        <v>79.061000000000007</v>
      </c>
      <c r="V6" s="6">
        <v>19.404</v>
      </c>
      <c r="W6" s="6">
        <v>47.475999999999999</v>
      </c>
      <c r="X6" s="6">
        <v>12.032</v>
      </c>
      <c r="Y6" s="5">
        <v>4502.6719999999996</v>
      </c>
      <c r="Z6" s="5">
        <v>3773.3240000000001</v>
      </c>
      <c r="AA6" s="5">
        <v>303.31400000000002</v>
      </c>
      <c r="AB6">
        <f t="shared" si="0"/>
        <v>127.36743518446865</v>
      </c>
      <c r="AC6">
        <f t="shared" si="1"/>
        <v>119.32905841109853</v>
      </c>
      <c r="AD6">
        <f t="shared" si="2"/>
        <v>8.0383767733701106</v>
      </c>
      <c r="AE6">
        <f t="shared" si="3"/>
        <v>6.7363112391930855</v>
      </c>
    </row>
    <row r="7" spans="1:31" ht="12" x14ac:dyDescent="0.2">
      <c r="A7" s="1">
        <v>1955</v>
      </c>
      <c r="B7" s="5">
        <v>8822.0130000000008</v>
      </c>
      <c r="C7" s="5">
        <v>4428.8680000000004</v>
      </c>
      <c r="D7" s="5">
        <v>4393.1450000000004</v>
      </c>
      <c r="E7" s="6">
        <v>6.8920000000000003</v>
      </c>
      <c r="F7" s="6">
        <v>100.813</v>
      </c>
      <c r="G7" s="6">
        <v>17.61</v>
      </c>
      <c r="H7" s="5">
        <v>253.19399999999999</v>
      </c>
      <c r="I7" s="6">
        <v>28.7</v>
      </c>
      <c r="J7" s="5">
        <v>246.92599999999999</v>
      </c>
      <c r="K7" s="7">
        <v>2.7989999999999999</v>
      </c>
      <c r="L7" s="6">
        <v>24.763999999999999</v>
      </c>
      <c r="M7" s="5">
        <v>421.73099999999999</v>
      </c>
      <c r="N7" s="6">
        <v>47.804000000000002</v>
      </c>
      <c r="O7" s="7">
        <v>6.96</v>
      </c>
      <c r="P7" s="7">
        <v>2.359</v>
      </c>
      <c r="Q7" s="6">
        <v>29.55</v>
      </c>
      <c r="R7" s="5">
        <v>104.2</v>
      </c>
      <c r="S7" s="5">
        <v>168.53700000000001</v>
      </c>
      <c r="T7" s="5">
        <v>88.575999999999993</v>
      </c>
      <c r="U7" s="5">
        <v>79.960999999999999</v>
      </c>
      <c r="V7" s="6">
        <v>19.103999999999999</v>
      </c>
      <c r="W7" s="6">
        <v>47.904000000000003</v>
      </c>
      <c r="X7" s="6">
        <v>12.051</v>
      </c>
      <c r="Y7" s="5">
        <v>4641.6194999999998</v>
      </c>
      <c r="Z7" s="5">
        <v>3866.078</v>
      </c>
      <c r="AA7" s="5">
        <v>314.31549999999999</v>
      </c>
      <c r="AB7">
        <f t="shared" si="0"/>
        <v>128.19024861888454</v>
      </c>
      <c r="AC7">
        <f t="shared" si="1"/>
        <v>120.06016174531398</v>
      </c>
      <c r="AD7">
        <f t="shared" si="2"/>
        <v>8.1300868735705798</v>
      </c>
      <c r="AE7">
        <f t="shared" si="3"/>
        <v>6.7716774285354493</v>
      </c>
    </row>
    <row r="8" spans="1:31" ht="12" x14ac:dyDescent="0.2">
      <c r="A8" s="1">
        <v>1956</v>
      </c>
      <c r="B8" s="5">
        <v>9073.4740000000002</v>
      </c>
      <c r="C8" s="5">
        <v>4554.585</v>
      </c>
      <c r="D8" s="5">
        <v>4518.8890000000001</v>
      </c>
      <c r="E8" s="6">
        <v>7.0880000000000001</v>
      </c>
      <c r="F8" s="6">
        <v>100.79</v>
      </c>
      <c r="G8" s="6">
        <v>17.53</v>
      </c>
      <c r="H8" s="5">
        <v>262.50900000000001</v>
      </c>
      <c r="I8" s="6">
        <v>28.931000000000001</v>
      </c>
      <c r="J8" s="5">
        <v>255.995</v>
      </c>
      <c r="K8" s="7">
        <v>2.8220000000000001</v>
      </c>
      <c r="L8" s="6">
        <v>24.562000000000001</v>
      </c>
      <c r="M8" s="5">
        <v>432.75200000000001</v>
      </c>
      <c r="N8" s="6">
        <v>47.694000000000003</v>
      </c>
      <c r="O8" s="7">
        <v>6.9619999999999997</v>
      </c>
      <c r="P8" s="7">
        <v>2.3820000000000001</v>
      </c>
      <c r="Q8" s="6">
        <v>29.556999999999999</v>
      </c>
      <c r="R8" s="5">
        <v>104.2</v>
      </c>
      <c r="S8" s="5">
        <v>170.24299999999999</v>
      </c>
      <c r="T8" s="5">
        <v>89.61</v>
      </c>
      <c r="U8" s="5">
        <v>80.632999999999996</v>
      </c>
      <c r="V8" s="6">
        <v>18.763000000000002</v>
      </c>
      <c r="W8" s="6">
        <v>48.381999999999998</v>
      </c>
      <c r="X8" s="6">
        <v>12.073</v>
      </c>
      <c r="Y8" s="5">
        <v>4786.9264999999996</v>
      </c>
      <c r="Z8" s="5">
        <v>3961.0124999999998</v>
      </c>
      <c r="AA8" s="5">
        <v>325.53449999999998</v>
      </c>
      <c r="AB8">
        <f t="shared" si="0"/>
        <v>129.06954976789393</v>
      </c>
      <c r="AC8">
        <f t="shared" si="1"/>
        <v>120.85108289862757</v>
      </c>
      <c r="AD8">
        <f t="shared" si="2"/>
        <v>8.2184668692663809</v>
      </c>
      <c r="AE8">
        <f t="shared" si="3"/>
        <v>6.8004908786462464</v>
      </c>
    </row>
    <row r="9" spans="1:31" ht="12" x14ac:dyDescent="0.2">
      <c r="A9" s="1">
        <v>1957</v>
      </c>
      <c r="B9" s="5">
        <v>9333.8709999999992</v>
      </c>
      <c r="C9" s="5">
        <v>4684.7129999999997</v>
      </c>
      <c r="D9" s="5">
        <v>4649.1580000000004</v>
      </c>
      <c r="E9" s="6">
        <v>7.2919999999999998</v>
      </c>
      <c r="F9" s="6">
        <v>100.765</v>
      </c>
      <c r="G9" s="6">
        <v>17.437999999999999</v>
      </c>
      <c r="H9" s="5">
        <v>272.36799999999999</v>
      </c>
      <c r="I9" s="6">
        <v>29.18</v>
      </c>
      <c r="J9" s="5">
        <v>264.80099999999999</v>
      </c>
      <c r="K9" s="7">
        <v>2.8370000000000002</v>
      </c>
      <c r="L9" s="6">
        <v>24.431999999999999</v>
      </c>
      <c r="M9" s="5">
        <v>443.89400000000001</v>
      </c>
      <c r="N9" s="6">
        <v>47.557000000000002</v>
      </c>
      <c r="O9" s="7">
        <v>6.9619999999999997</v>
      </c>
      <c r="P9" s="7">
        <v>2.4060000000000001</v>
      </c>
      <c r="Q9" s="6">
        <v>29.564</v>
      </c>
      <c r="R9" s="5">
        <v>104.2</v>
      </c>
      <c r="S9" s="5">
        <v>171.52600000000001</v>
      </c>
      <c r="T9" s="5">
        <v>90.42</v>
      </c>
      <c r="U9" s="5">
        <v>81.105999999999995</v>
      </c>
      <c r="V9" s="6">
        <v>18.376999999999999</v>
      </c>
      <c r="W9" s="6">
        <v>48.921999999999997</v>
      </c>
      <c r="X9" s="6">
        <v>12.102</v>
      </c>
      <c r="Y9" s="5">
        <v>4938.3564999999999</v>
      </c>
      <c r="Z9" s="5">
        <v>4058.5794999999998</v>
      </c>
      <c r="AA9" s="5">
        <v>336.93549999999999</v>
      </c>
      <c r="AB9">
        <f t="shared" si="0"/>
        <v>129.97877705734234</v>
      </c>
      <c r="AC9">
        <f t="shared" si="1"/>
        <v>121.67696850585286</v>
      </c>
      <c r="AD9">
        <f t="shared" si="2"/>
        <v>8.3018085514895041</v>
      </c>
      <c r="AE9">
        <f t="shared" si="3"/>
        <v>6.8228265820825209</v>
      </c>
    </row>
    <row r="10" spans="1:31" ht="12" x14ac:dyDescent="0.2">
      <c r="A10" s="1">
        <v>1958</v>
      </c>
      <c r="B10" s="5">
        <v>9603.6460000000006</v>
      </c>
      <c r="C10" s="5">
        <v>4819.5060000000003</v>
      </c>
      <c r="D10" s="5">
        <v>4784.1400000000003</v>
      </c>
      <c r="E10" s="6">
        <v>7.5019999999999998</v>
      </c>
      <c r="F10" s="6">
        <v>100.739</v>
      </c>
      <c r="G10" s="6">
        <v>17.326000000000001</v>
      </c>
      <c r="H10" s="5">
        <v>282.483</v>
      </c>
      <c r="I10" s="6">
        <v>29.414000000000001</v>
      </c>
      <c r="J10" s="5">
        <v>274.74700000000001</v>
      </c>
      <c r="K10" s="7">
        <v>2.8610000000000002</v>
      </c>
      <c r="L10" s="6">
        <v>24.227</v>
      </c>
      <c r="M10" s="5">
        <v>455.03300000000002</v>
      </c>
      <c r="N10" s="6">
        <v>47.381</v>
      </c>
      <c r="O10" s="7">
        <v>6.9589999999999996</v>
      </c>
      <c r="P10" s="7">
        <v>2.4300000000000002</v>
      </c>
      <c r="Q10" s="6">
        <v>29.571000000000002</v>
      </c>
      <c r="R10" s="5">
        <v>104.2</v>
      </c>
      <c r="S10" s="5">
        <v>172.55</v>
      </c>
      <c r="T10" s="5">
        <v>91.066000000000003</v>
      </c>
      <c r="U10" s="5">
        <v>81.483999999999995</v>
      </c>
      <c r="V10" s="6">
        <v>17.966999999999999</v>
      </c>
      <c r="W10" s="6">
        <v>49.488999999999997</v>
      </c>
      <c r="X10" s="6">
        <v>12.13</v>
      </c>
      <c r="Y10" s="5">
        <v>5096.8459999999995</v>
      </c>
      <c r="Z10" s="5">
        <v>4158.1914999999999</v>
      </c>
      <c r="AA10" s="5">
        <v>348.608</v>
      </c>
      <c r="AB10">
        <f t="shared" si="0"/>
        <v>130.95726832205779</v>
      </c>
      <c r="AC10">
        <f t="shared" si="1"/>
        <v>122.57362365345608</v>
      </c>
      <c r="AD10">
        <f t="shared" si="2"/>
        <v>8.3836446686017219</v>
      </c>
      <c r="AE10">
        <f t="shared" si="3"/>
        <v>6.8396808536102522</v>
      </c>
    </row>
    <row r="11" spans="1:31" ht="12" x14ac:dyDescent="0.2">
      <c r="A11" s="1">
        <v>1959</v>
      </c>
      <c r="B11" s="5">
        <v>9883.6540000000005</v>
      </c>
      <c r="C11" s="5">
        <v>4959.4570000000003</v>
      </c>
      <c r="D11" s="5">
        <v>4924.1970000000001</v>
      </c>
      <c r="E11" s="6">
        <v>7.7210000000000001</v>
      </c>
      <c r="F11" s="6">
        <v>100.71599999999999</v>
      </c>
      <c r="G11" s="6">
        <v>17.201000000000001</v>
      </c>
      <c r="H11" s="5">
        <v>292.77</v>
      </c>
      <c r="I11" s="6">
        <v>29.622</v>
      </c>
      <c r="J11" s="5">
        <v>285.26900000000001</v>
      </c>
      <c r="K11" s="7">
        <v>2.8860000000000001</v>
      </c>
      <c r="L11" s="6">
        <v>24.018000000000001</v>
      </c>
      <c r="M11" s="5">
        <v>466.29599999999999</v>
      </c>
      <c r="N11" s="6">
        <v>47.179000000000002</v>
      </c>
      <c r="O11" s="7">
        <v>6.9530000000000003</v>
      </c>
      <c r="P11" s="7">
        <v>2.452</v>
      </c>
      <c r="Q11" s="6">
        <v>29.573</v>
      </c>
      <c r="R11" s="5">
        <v>104.2</v>
      </c>
      <c r="S11" s="5">
        <v>173.52600000000001</v>
      </c>
      <c r="T11" s="5">
        <v>91.575000000000003</v>
      </c>
      <c r="U11" s="5">
        <v>81.950999999999993</v>
      </c>
      <c r="V11" s="6">
        <v>17.556999999999999</v>
      </c>
      <c r="W11" s="6">
        <v>50.043999999999997</v>
      </c>
      <c r="X11" s="6">
        <v>12.148999999999999</v>
      </c>
      <c r="Y11" s="5">
        <v>5264.0204999999996</v>
      </c>
      <c r="Z11" s="5">
        <v>4258.9425000000001</v>
      </c>
      <c r="AA11" s="5">
        <v>360.69049999999999</v>
      </c>
      <c r="AB11">
        <f t="shared" si="0"/>
        <v>132.06825403254444</v>
      </c>
      <c r="AC11">
        <f t="shared" si="1"/>
        <v>123.59923854337079</v>
      </c>
      <c r="AD11">
        <f t="shared" si="2"/>
        <v>8.4690154891736622</v>
      </c>
      <c r="AE11">
        <f t="shared" si="3"/>
        <v>6.8519964920349379</v>
      </c>
    </row>
    <row r="12" spans="1:31" ht="12" x14ac:dyDescent="0.2">
      <c r="A12" s="1">
        <v>1960</v>
      </c>
      <c r="B12" s="5">
        <v>10174.127</v>
      </c>
      <c r="C12" s="5">
        <v>5104.7610000000004</v>
      </c>
      <c r="D12" s="5">
        <v>5069.366</v>
      </c>
      <c r="E12" s="6">
        <v>7.9480000000000004</v>
      </c>
      <c r="F12" s="6">
        <v>100.69799999999999</v>
      </c>
      <c r="G12" s="6">
        <v>17.07</v>
      </c>
      <c r="H12" s="5">
        <v>302.923</v>
      </c>
      <c r="I12" s="6">
        <v>29.774000000000001</v>
      </c>
      <c r="J12" s="5">
        <v>295.678</v>
      </c>
      <c r="K12" s="7">
        <v>2.9060000000000001</v>
      </c>
      <c r="L12" s="6">
        <v>23.852</v>
      </c>
      <c r="M12" s="5">
        <v>477.30200000000002</v>
      </c>
      <c r="N12" s="6">
        <v>46.912999999999997</v>
      </c>
      <c r="O12" s="7">
        <v>6.9409999999999998</v>
      </c>
      <c r="P12" s="7">
        <v>2.4710000000000001</v>
      </c>
      <c r="Q12" s="6">
        <v>29.591999999999999</v>
      </c>
      <c r="R12" s="5">
        <v>104.2</v>
      </c>
      <c r="S12" s="5">
        <v>174.37899999999999</v>
      </c>
      <c r="T12" s="5">
        <v>91.927999999999997</v>
      </c>
      <c r="U12" s="5">
        <v>82.450999999999993</v>
      </c>
      <c r="V12" s="6">
        <v>17.138999999999999</v>
      </c>
      <c r="W12" s="6">
        <v>50.597000000000001</v>
      </c>
      <c r="X12" s="6">
        <v>12.166</v>
      </c>
      <c r="Y12" s="5">
        <v>5440.2745000000004</v>
      </c>
      <c r="Z12" s="5">
        <v>4360.7484999999997</v>
      </c>
      <c r="AA12" s="5">
        <v>373.10399999999998</v>
      </c>
      <c r="AB12">
        <f t="shared" si="0"/>
        <v>133.31148310892041</v>
      </c>
      <c r="AC12">
        <f t="shared" si="1"/>
        <v>124.75552075520982</v>
      </c>
      <c r="AD12">
        <f t="shared" si="2"/>
        <v>8.5559623537106066</v>
      </c>
      <c r="AE12">
        <f t="shared" si="3"/>
        <v>6.8581833508584902</v>
      </c>
    </row>
    <row r="13" spans="1:31" ht="12" x14ac:dyDescent="0.2">
      <c r="A13" s="1">
        <v>1961</v>
      </c>
      <c r="B13" s="5">
        <v>10475.123</v>
      </c>
      <c r="C13" s="5">
        <v>5255.47</v>
      </c>
      <c r="D13" s="5">
        <v>5219.6540000000005</v>
      </c>
      <c r="E13" s="6">
        <v>8.1829999999999998</v>
      </c>
      <c r="F13" s="6">
        <v>100.68600000000001</v>
      </c>
      <c r="G13" s="6">
        <v>16.943000000000001</v>
      </c>
      <c r="H13" s="5">
        <v>313.37799999999999</v>
      </c>
      <c r="I13" s="6">
        <v>29.917000000000002</v>
      </c>
      <c r="J13" s="5">
        <v>306.315</v>
      </c>
      <c r="K13" s="7">
        <v>2.9239999999999999</v>
      </c>
      <c r="L13" s="6">
        <v>23.704999999999998</v>
      </c>
      <c r="M13" s="5">
        <v>488.21</v>
      </c>
      <c r="N13" s="6">
        <v>46.606999999999999</v>
      </c>
      <c r="O13" s="7">
        <v>6.923</v>
      </c>
      <c r="P13" s="7">
        <v>2.4889999999999999</v>
      </c>
      <c r="Q13" s="6">
        <v>29.616</v>
      </c>
      <c r="R13" s="5">
        <v>104.1</v>
      </c>
      <c r="S13" s="5">
        <v>174.83199999999999</v>
      </c>
      <c r="T13" s="5">
        <v>92.082999999999998</v>
      </c>
      <c r="U13" s="5">
        <v>82.748000000000005</v>
      </c>
      <c r="V13" s="6">
        <v>16.690000000000001</v>
      </c>
      <c r="W13" s="6">
        <v>51.192</v>
      </c>
      <c r="X13" s="6">
        <v>12.189</v>
      </c>
      <c r="Y13" s="5">
        <v>5624.6935000000003</v>
      </c>
      <c r="Z13" s="5">
        <v>4464.5450000000001</v>
      </c>
      <c r="AA13" s="5">
        <v>385.88499999999999</v>
      </c>
      <c r="AB13">
        <f t="shared" si="0"/>
        <v>134.62913913959878</v>
      </c>
      <c r="AC13">
        <f t="shared" si="1"/>
        <v>125.98581714374029</v>
      </c>
      <c r="AD13">
        <f t="shared" si="2"/>
        <v>8.6433219958584804</v>
      </c>
      <c r="AE13">
        <f t="shared" si="3"/>
        <v>6.8605516016117143</v>
      </c>
    </row>
    <row r="14" spans="1:31" ht="12" x14ac:dyDescent="0.2">
      <c r="A14" s="1">
        <v>1962</v>
      </c>
      <c r="B14" s="5">
        <v>10784.611999999999</v>
      </c>
      <c r="C14" s="5">
        <v>5411.2060000000001</v>
      </c>
      <c r="D14" s="5">
        <v>5373.4059999999999</v>
      </c>
      <c r="E14" s="6">
        <v>8.4250000000000007</v>
      </c>
      <c r="F14" s="6">
        <v>100.703</v>
      </c>
      <c r="G14" s="6">
        <v>16.847000000000001</v>
      </c>
      <c r="H14" s="5">
        <v>321.70699999999999</v>
      </c>
      <c r="I14" s="6">
        <v>29.831</v>
      </c>
      <c r="J14" s="5">
        <v>312.66199999999998</v>
      </c>
      <c r="K14" s="7">
        <v>2.899</v>
      </c>
      <c r="L14" s="6">
        <v>23.91</v>
      </c>
      <c r="M14" s="5">
        <v>498.42899999999997</v>
      </c>
      <c r="N14" s="6">
        <v>46.216999999999999</v>
      </c>
      <c r="O14" s="7">
        <v>6.8949999999999996</v>
      </c>
      <c r="P14" s="7">
        <v>2.4929999999999999</v>
      </c>
      <c r="Q14" s="6">
        <v>29.67</v>
      </c>
      <c r="R14" s="5">
        <v>104.1</v>
      </c>
      <c r="S14" s="5">
        <v>176.72200000000001</v>
      </c>
      <c r="T14" s="5">
        <v>93.001000000000005</v>
      </c>
      <c r="U14" s="5">
        <v>83.721000000000004</v>
      </c>
      <c r="V14" s="6">
        <v>16.385999999999999</v>
      </c>
      <c r="W14" s="6">
        <v>51.531999999999996</v>
      </c>
      <c r="X14" s="6">
        <v>12.182</v>
      </c>
      <c r="Y14" s="5">
        <v>5811.4160000000002</v>
      </c>
      <c r="Z14" s="5">
        <v>4568.5150000000003</v>
      </c>
      <c r="AA14" s="5">
        <v>404.68099999999998</v>
      </c>
      <c r="AB14">
        <f t="shared" si="0"/>
        <v>136.06384131386238</v>
      </c>
      <c r="AC14">
        <f t="shared" si="1"/>
        <v>127.20579882084222</v>
      </c>
      <c r="AD14">
        <f t="shared" si="2"/>
        <v>8.8580424930201609</v>
      </c>
      <c r="AE14">
        <f t="shared" si="3"/>
        <v>6.9635524285303267</v>
      </c>
    </row>
    <row r="15" spans="1:31" ht="12" x14ac:dyDescent="0.2">
      <c r="A15" s="1">
        <v>1963</v>
      </c>
      <c r="B15" s="5">
        <v>11102.099</v>
      </c>
      <c r="C15" s="5">
        <v>5571.6840000000002</v>
      </c>
      <c r="D15" s="5">
        <v>5530.4139999999998</v>
      </c>
      <c r="E15" s="6">
        <v>8.673</v>
      </c>
      <c r="F15" s="6">
        <v>100.746</v>
      </c>
      <c r="G15" s="6">
        <v>16.789000000000001</v>
      </c>
      <c r="H15" s="5">
        <v>332.35899999999998</v>
      </c>
      <c r="I15" s="6">
        <v>29.936</v>
      </c>
      <c r="J15" s="5">
        <v>322.31099999999998</v>
      </c>
      <c r="K15" s="7">
        <v>2.903</v>
      </c>
      <c r="L15" s="6">
        <v>23.876999999999999</v>
      </c>
      <c r="M15" s="5">
        <v>508.101</v>
      </c>
      <c r="N15" s="6">
        <v>45.765999999999998</v>
      </c>
      <c r="O15" s="7">
        <v>6.8579999999999997</v>
      </c>
      <c r="P15" s="7">
        <v>2.5230000000000001</v>
      </c>
      <c r="Q15" s="6">
        <v>29.724</v>
      </c>
      <c r="R15" s="5">
        <v>104.1</v>
      </c>
      <c r="S15" s="5">
        <v>175.74199999999999</v>
      </c>
      <c r="T15" s="5">
        <v>92.710999999999999</v>
      </c>
      <c r="U15" s="5">
        <v>83.031000000000006</v>
      </c>
      <c r="V15" s="6">
        <v>15.83</v>
      </c>
      <c r="W15" s="6">
        <v>52.597000000000001</v>
      </c>
      <c r="X15" s="6">
        <v>12.276999999999999</v>
      </c>
      <c r="Y15" s="5">
        <v>5998.9465</v>
      </c>
      <c r="Z15" s="5">
        <v>4674.152</v>
      </c>
      <c r="AA15" s="5">
        <v>429</v>
      </c>
      <c r="AB15">
        <f t="shared" si="0"/>
        <v>137.52112682685544</v>
      </c>
      <c r="AC15">
        <f t="shared" si="1"/>
        <v>128.34299141320179</v>
      </c>
      <c r="AD15">
        <f t="shared" si="2"/>
        <v>9.1781354136536422</v>
      </c>
      <c r="AE15">
        <f t="shared" si="3"/>
        <v>7.1512556413030186</v>
      </c>
    </row>
    <row r="16" spans="1:31" ht="12" x14ac:dyDescent="0.2">
      <c r="A16" s="1">
        <v>1964</v>
      </c>
      <c r="B16" s="5">
        <v>11427.977999999999</v>
      </c>
      <c r="C16" s="5">
        <v>5736.5209999999997</v>
      </c>
      <c r="D16" s="5">
        <v>5691.4570000000003</v>
      </c>
      <c r="E16" s="6">
        <v>8.9280000000000008</v>
      </c>
      <c r="F16" s="6">
        <v>100.792</v>
      </c>
      <c r="G16" s="6">
        <v>16.754999999999999</v>
      </c>
      <c r="H16" s="5">
        <v>341.56299999999999</v>
      </c>
      <c r="I16" s="6">
        <v>29.888999999999999</v>
      </c>
      <c r="J16" s="5">
        <v>329.447</v>
      </c>
      <c r="K16" s="7">
        <v>2.883</v>
      </c>
      <c r="L16" s="6">
        <v>24.042999999999999</v>
      </c>
      <c r="M16" s="5">
        <v>518.39099999999996</v>
      </c>
      <c r="N16" s="6">
        <v>45.362000000000002</v>
      </c>
      <c r="O16" s="7">
        <v>6.81</v>
      </c>
      <c r="P16" s="7">
        <v>2.5350000000000001</v>
      </c>
      <c r="Q16" s="6">
        <v>29.736999999999998</v>
      </c>
      <c r="R16" s="5">
        <v>104.1</v>
      </c>
      <c r="S16" s="5">
        <v>176.828</v>
      </c>
      <c r="T16" s="5">
        <v>93.415000000000006</v>
      </c>
      <c r="U16" s="5">
        <v>83.412999999999997</v>
      </c>
      <c r="V16" s="6">
        <v>15.473000000000001</v>
      </c>
      <c r="W16" s="6">
        <v>53.302</v>
      </c>
      <c r="X16" s="6">
        <v>12.321</v>
      </c>
      <c r="Y16" s="5">
        <v>6189.9660000000003</v>
      </c>
      <c r="Z16" s="5">
        <v>4784.7669999999998</v>
      </c>
      <c r="AA16" s="5">
        <v>453.24450000000002</v>
      </c>
      <c r="AB16">
        <f t="shared" si="0"/>
        <v>138.84083592785188</v>
      </c>
      <c r="AC16">
        <f t="shared" si="1"/>
        <v>129.36818031055643</v>
      </c>
      <c r="AD16">
        <f t="shared" si="2"/>
        <v>9.472655617295473</v>
      </c>
      <c r="AE16">
        <f t="shared" si="3"/>
        <v>7.3222453887468841</v>
      </c>
    </row>
    <row r="17" spans="1:31" ht="12" x14ac:dyDescent="0.2">
      <c r="A17" s="1">
        <v>1965</v>
      </c>
      <c r="B17" s="5">
        <v>11761.084999999999</v>
      </c>
      <c r="C17" s="5">
        <v>5905.1329999999998</v>
      </c>
      <c r="D17" s="5">
        <v>5855.9520000000002</v>
      </c>
      <c r="E17" s="6">
        <v>9.1880000000000006</v>
      </c>
      <c r="F17" s="6">
        <v>100.84</v>
      </c>
      <c r="G17" s="6">
        <v>16.739000000000001</v>
      </c>
      <c r="H17" s="5">
        <v>349.24599999999998</v>
      </c>
      <c r="I17" s="6">
        <v>29.695</v>
      </c>
      <c r="J17" s="5">
        <v>336.76900000000001</v>
      </c>
      <c r="K17" s="7">
        <v>2.8639999999999999</v>
      </c>
      <c r="L17" s="6">
        <v>24.202000000000002</v>
      </c>
      <c r="M17" s="5">
        <v>527.93399999999997</v>
      </c>
      <c r="N17" s="6">
        <v>44.887999999999998</v>
      </c>
      <c r="O17" s="7">
        <v>6.75</v>
      </c>
      <c r="P17" s="7">
        <v>2.5369999999999999</v>
      </c>
      <c r="Q17" s="6">
        <v>29.768999999999998</v>
      </c>
      <c r="R17" s="5">
        <v>104.2</v>
      </c>
      <c r="S17" s="5">
        <v>178.68799999999999</v>
      </c>
      <c r="T17" s="5">
        <v>94.465000000000003</v>
      </c>
      <c r="U17" s="5">
        <v>84.222999999999999</v>
      </c>
      <c r="V17" s="6">
        <v>15.193</v>
      </c>
      <c r="W17" s="6">
        <v>53.871000000000002</v>
      </c>
      <c r="X17" s="6">
        <v>12.340999999999999</v>
      </c>
      <c r="Y17" s="5">
        <v>6382.4759999999997</v>
      </c>
      <c r="Z17" s="5">
        <v>4901.8850000000002</v>
      </c>
      <c r="AA17" s="5">
        <v>476.72449999999998</v>
      </c>
      <c r="AB17">
        <f t="shared" si="0"/>
        <v>139.92985351553534</v>
      </c>
      <c r="AC17">
        <f t="shared" si="1"/>
        <v>130.20452336193117</v>
      </c>
      <c r="AD17">
        <f t="shared" si="2"/>
        <v>9.7253301536041743</v>
      </c>
      <c r="AE17">
        <f t="shared" si="3"/>
        <v>7.4692721132049691</v>
      </c>
    </row>
    <row r="18" spans="1:31" ht="12" x14ac:dyDescent="0.2">
      <c r="A18" s="1">
        <v>1966</v>
      </c>
      <c r="B18" s="5">
        <v>12101.297</v>
      </c>
      <c r="C18" s="5">
        <v>6077.4219999999996</v>
      </c>
      <c r="D18" s="5">
        <v>6023.8739999999998</v>
      </c>
      <c r="E18" s="6">
        <v>9.4540000000000006</v>
      </c>
      <c r="F18" s="6">
        <v>100.889</v>
      </c>
      <c r="G18" s="6">
        <v>16.736999999999998</v>
      </c>
      <c r="H18" s="5">
        <v>356.81200000000001</v>
      </c>
      <c r="I18" s="6">
        <v>29.486000000000001</v>
      </c>
      <c r="J18" s="5">
        <v>343.654</v>
      </c>
      <c r="K18" s="7">
        <v>2.84</v>
      </c>
      <c r="L18" s="6">
        <v>24.407</v>
      </c>
      <c r="M18" s="5">
        <v>537.24400000000003</v>
      </c>
      <c r="N18" s="6">
        <v>44.396000000000001</v>
      </c>
      <c r="O18" s="7">
        <v>6.68</v>
      </c>
      <c r="P18" s="7">
        <v>2.5329999999999999</v>
      </c>
      <c r="Q18" s="6">
        <v>29.802</v>
      </c>
      <c r="R18" s="5">
        <v>104.2</v>
      </c>
      <c r="S18" s="5">
        <v>180.43199999999999</v>
      </c>
      <c r="T18" s="5">
        <v>95.369</v>
      </c>
      <c r="U18" s="5">
        <v>85.061999999999998</v>
      </c>
      <c r="V18" s="6">
        <v>14.91</v>
      </c>
      <c r="W18" s="6">
        <v>54.4</v>
      </c>
      <c r="X18" s="6">
        <v>12.348000000000001</v>
      </c>
      <c r="Y18" s="5">
        <v>6575.4470000000001</v>
      </c>
      <c r="Z18" s="5">
        <v>5027.223</v>
      </c>
      <c r="AA18" s="5">
        <v>498.62700000000001</v>
      </c>
      <c r="AB18">
        <f t="shared" si="0"/>
        <v>140.71534125301386</v>
      </c>
      <c r="AC18">
        <f t="shared" si="1"/>
        <v>130.79680372245275</v>
      </c>
      <c r="AD18">
        <f t="shared" si="2"/>
        <v>9.9185375305611068</v>
      </c>
      <c r="AE18">
        <f t="shared" si="3"/>
        <v>7.5831650684736713</v>
      </c>
    </row>
    <row r="19" spans="1:31" ht="12" x14ac:dyDescent="0.2">
      <c r="A19" s="1">
        <v>1967</v>
      </c>
      <c r="B19" s="5">
        <v>12448.814</v>
      </c>
      <c r="C19" s="5">
        <v>6253.5119999999997</v>
      </c>
      <c r="D19" s="5">
        <v>6195.3010000000004</v>
      </c>
      <c r="E19" s="6">
        <v>9.7249999999999996</v>
      </c>
      <c r="F19" s="6">
        <v>100.94</v>
      </c>
      <c r="G19" s="6">
        <v>16.744</v>
      </c>
      <c r="H19" s="5">
        <v>365.22399999999999</v>
      </c>
      <c r="I19" s="6">
        <v>29.338000000000001</v>
      </c>
      <c r="J19" s="5">
        <v>351.37900000000002</v>
      </c>
      <c r="K19" s="7">
        <v>2.823</v>
      </c>
      <c r="L19" s="6">
        <v>24.553999999999998</v>
      </c>
      <c r="M19" s="5">
        <v>547.45399999999995</v>
      </c>
      <c r="N19" s="6">
        <v>43.975999999999999</v>
      </c>
      <c r="O19" s="7">
        <v>6.6</v>
      </c>
      <c r="P19" s="7">
        <v>2.524</v>
      </c>
      <c r="Q19" s="6">
        <v>29.783999999999999</v>
      </c>
      <c r="R19" s="5">
        <v>104.2</v>
      </c>
      <c r="S19" s="5">
        <v>182.23</v>
      </c>
      <c r="T19" s="5">
        <v>96.41</v>
      </c>
      <c r="U19" s="5">
        <v>85.82</v>
      </c>
      <c r="V19" s="6">
        <v>14.638</v>
      </c>
      <c r="W19" s="6">
        <v>54.893000000000001</v>
      </c>
      <c r="X19" s="6">
        <v>12.352</v>
      </c>
      <c r="Y19" s="5">
        <v>6768.6625000000004</v>
      </c>
      <c r="Z19" s="5">
        <v>5160.9285</v>
      </c>
      <c r="AA19" s="5">
        <v>519.22249999999997</v>
      </c>
      <c r="AB19">
        <f t="shared" si="0"/>
        <v>141.21267132454943</v>
      </c>
      <c r="AC19">
        <f t="shared" si="1"/>
        <v>131.15203010466044</v>
      </c>
      <c r="AD19">
        <f t="shared" si="2"/>
        <v>10.060641219889018</v>
      </c>
      <c r="AE19">
        <f t="shared" si="3"/>
        <v>7.6709763561117121</v>
      </c>
    </row>
    <row r="20" spans="1:31" ht="12" x14ac:dyDescent="0.2">
      <c r="A20" s="1">
        <v>1968</v>
      </c>
      <c r="B20" s="5">
        <v>12803.993</v>
      </c>
      <c r="C20" s="5">
        <v>6433.4040000000005</v>
      </c>
      <c r="D20" s="5">
        <v>6370.5879999999997</v>
      </c>
      <c r="E20" s="6">
        <v>10.002000000000001</v>
      </c>
      <c r="F20" s="6">
        <v>100.986</v>
      </c>
      <c r="G20" s="6">
        <v>16.757000000000001</v>
      </c>
      <c r="H20" s="5">
        <v>372.37</v>
      </c>
      <c r="I20" s="6">
        <v>29.082999999999998</v>
      </c>
      <c r="J20" s="5">
        <v>358.97899999999998</v>
      </c>
      <c r="K20" s="7">
        <v>2.8039999999999998</v>
      </c>
      <c r="L20" s="6">
        <v>24.72</v>
      </c>
      <c r="M20" s="5">
        <v>556.13599999999997</v>
      </c>
      <c r="N20" s="6">
        <v>43.435000000000002</v>
      </c>
      <c r="O20" s="7">
        <v>6.5129999999999999</v>
      </c>
      <c r="P20" s="7">
        <v>2.512</v>
      </c>
      <c r="Q20" s="6">
        <v>29.821000000000002</v>
      </c>
      <c r="R20" s="5">
        <v>104.3</v>
      </c>
      <c r="S20" s="5">
        <v>183.76599999999999</v>
      </c>
      <c r="T20" s="5">
        <v>97.415999999999997</v>
      </c>
      <c r="U20" s="5">
        <v>86.349000000000004</v>
      </c>
      <c r="V20" s="6">
        <v>14.352</v>
      </c>
      <c r="W20" s="6">
        <v>55.384</v>
      </c>
      <c r="X20" s="6">
        <v>12.364000000000001</v>
      </c>
      <c r="Y20" s="5">
        <v>6962.9719999999998</v>
      </c>
      <c r="Z20" s="5">
        <v>5302.7610000000004</v>
      </c>
      <c r="AA20" s="5">
        <v>538.2595</v>
      </c>
      <c r="AB20">
        <f t="shared" si="0"/>
        <v>141.45897769105565</v>
      </c>
      <c r="AC20">
        <f t="shared" si="1"/>
        <v>131.30842593132141</v>
      </c>
      <c r="AD20">
        <f t="shared" si="2"/>
        <v>10.150551759734221</v>
      </c>
      <c r="AE20">
        <f t="shared" si="3"/>
        <v>7.7303125734241069</v>
      </c>
    </row>
    <row r="21" spans="1:31" ht="12" x14ac:dyDescent="0.2">
      <c r="A21" s="1">
        <v>1969</v>
      </c>
      <c r="B21" s="5">
        <v>13166.767</v>
      </c>
      <c r="C21" s="5">
        <v>6616.9440000000004</v>
      </c>
      <c r="D21" s="5">
        <v>6549.8230000000003</v>
      </c>
      <c r="E21" s="6">
        <v>10.286</v>
      </c>
      <c r="F21" s="6">
        <v>101.02500000000001</v>
      </c>
      <c r="G21" s="6">
        <v>16.773</v>
      </c>
      <c r="H21" s="5">
        <v>379.34899999999999</v>
      </c>
      <c r="I21" s="6">
        <v>28.811</v>
      </c>
      <c r="J21" s="5">
        <v>366.57100000000003</v>
      </c>
      <c r="K21" s="7">
        <v>2.7839999999999998</v>
      </c>
      <c r="L21" s="6">
        <v>24.898</v>
      </c>
      <c r="M21" s="5">
        <v>564.59</v>
      </c>
      <c r="N21" s="6">
        <v>42.88</v>
      </c>
      <c r="O21" s="7">
        <v>6.4180000000000001</v>
      </c>
      <c r="P21" s="7">
        <v>2.4940000000000002</v>
      </c>
      <c r="Q21" s="6">
        <v>29.856999999999999</v>
      </c>
      <c r="R21" s="5">
        <v>104.2</v>
      </c>
      <c r="S21" s="5">
        <v>185.24100000000001</v>
      </c>
      <c r="T21" s="5">
        <v>98.274000000000001</v>
      </c>
      <c r="U21" s="5">
        <v>86.966999999999999</v>
      </c>
      <c r="V21" s="6">
        <v>14.069000000000001</v>
      </c>
      <c r="W21" s="6">
        <v>55.816000000000003</v>
      </c>
      <c r="X21" s="6">
        <v>12.368</v>
      </c>
      <c r="Y21" s="5">
        <v>7158.5884999999998</v>
      </c>
      <c r="Z21" s="5">
        <v>5452.2730000000001</v>
      </c>
      <c r="AA21" s="5">
        <v>555.90599999999995</v>
      </c>
      <c r="AB21">
        <f t="shared" si="0"/>
        <v>141.49134681994096</v>
      </c>
      <c r="AC21">
        <f t="shared" si="1"/>
        <v>131.2954890556654</v>
      </c>
      <c r="AD21">
        <f t="shared" si="2"/>
        <v>10.195857764275559</v>
      </c>
      <c r="AE21">
        <f t="shared" si="3"/>
        <v>7.7655811617052724</v>
      </c>
    </row>
    <row r="22" spans="1:31" ht="12" x14ac:dyDescent="0.2">
      <c r="A22" s="1">
        <v>1970</v>
      </c>
      <c r="B22" s="5">
        <v>13501.236999999999</v>
      </c>
      <c r="C22" s="5">
        <v>6788.0519999999997</v>
      </c>
      <c r="D22" s="5">
        <v>6713.1840000000002</v>
      </c>
      <c r="E22" s="6">
        <v>10.547000000000001</v>
      </c>
      <c r="F22" s="6">
        <v>101.11499999999999</v>
      </c>
      <c r="G22" s="6">
        <v>16.798999999999999</v>
      </c>
      <c r="H22" s="5">
        <v>318.012</v>
      </c>
      <c r="I22" s="6">
        <v>23.555</v>
      </c>
      <c r="J22" s="5">
        <v>302.36700000000002</v>
      </c>
      <c r="K22" s="7">
        <v>2.2400000000000002</v>
      </c>
      <c r="L22" s="6">
        <v>30.943999999999999</v>
      </c>
      <c r="M22" s="5">
        <v>572.06899999999996</v>
      </c>
      <c r="N22" s="6">
        <v>42.372</v>
      </c>
      <c r="O22" s="7">
        <v>6.3159999999999998</v>
      </c>
      <c r="P22" s="7">
        <v>2.1429999999999998</v>
      </c>
      <c r="Q22" s="6">
        <v>29.864000000000001</v>
      </c>
      <c r="R22" s="5">
        <v>104.3</v>
      </c>
      <c r="S22" s="5">
        <v>254.05699999999999</v>
      </c>
      <c r="T22" s="5">
        <v>129.642</v>
      </c>
      <c r="U22" s="5">
        <v>124.416</v>
      </c>
      <c r="V22" s="6">
        <v>18.817</v>
      </c>
      <c r="W22" s="6">
        <v>47.728000000000002</v>
      </c>
      <c r="X22" s="6">
        <v>11.241</v>
      </c>
      <c r="Y22" s="5">
        <v>7335.4440000000004</v>
      </c>
      <c r="Z22" s="5">
        <v>5594.6719999999996</v>
      </c>
      <c r="AA22" s="5">
        <v>571.12049999999999</v>
      </c>
      <c r="AB22">
        <f t="shared" si="0"/>
        <v>141.32311063097177</v>
      </c>
      <c r="AC22">
        <f t="shared" si="1"/>
        <v>131.1148178123758</v>
      </c>
      <c r="AD22">
        <f t="shared" si="2"/>
        <v>10.208292818595979</v>
      </c>
      <c r="AE22">
        <f t="shared" si="3"/>
        <v>7.7857659331868652</v>
      </c>
    </row>
    <row r="23" spans="1:31" ht="12" x14ac:dyDescent="0.2">
      <c r="A23" s="1">
        <v>1971</v>
      </c>
      <c r="B23" s="5">
        <v>13838.066999999999</v>
      </c>
      <c r="C23" s="5">
        <v>6961.018</v>
      </c>
      <c r="D23" s="5">
        <v>6877.05</v>
      </c>
      <c r="E23" s="6">
        <v>10.81</v>
      </c>
      <c r="F23" s="6">
        <v>101.221</v>
      </c>
      <c r="G23" s="6">
        <v>16.838999999999999</v>
      </c>
      <c r="H23" s="5">
        <v>391.50400000000002</v>
      </c>
      <c r="I23" s="6">
        <v>28.292000000000002</v>
      </c>
      <c r="J23" s="5">
        <v>371.29500000000002</v>
      </c>
      <c r="K23" s="7">
        <v>2.6829999999999998</v>
      </c>
      <c r="L23" s="6">
        <v>25.835000000000001</v>
      </c>
      <c r="M23" s="5">
        <v>578.98699999999997</v>
      </c>
      <c r="N23" s="6">
        <v>41.84</v>
      </c>
      <c r="O23" s="7">
        <v>6.2069999999999999</v>
      </c>
      <c r="P23" s="7">
        <v>2.4390000000000001</v>
      </c>
      <c r="Q23" s="6">
        <v>29.858000000000001</v>
      </c>
      <c r="R23" s="5">
        <v>104.3</v>
      </c>
      <c r="S23" s="5">
        <v>187.483</v>
      </c>
      <c r="T23" s="5">
        <v>99.326999999999998</v>
      </c>
      <c r="U23" s="5">
        <v>88.156000000000006</v>
      </c>
      <c r="V23" s="6">
        <v>13.548</v>
      </c>
      <c r="W23" s="6">
        <v>56.493000000000002</v>
      </c>
      <c r="X23" s="6">
        <v>12.355</v>
      </c>
      <c r="Y23" s="5">
        <v>7509.4525000000003</v>
      </c>
      <c r="Z23" s="5">
        <v>5737.9589999999998</v>
      </c>
      <c r="AA23" s="5">
        <v>590.65599999999995</v>
      </c>
      <c r="AB23">
        <f t="shared" si="0"/>
        <v>141.1670682903102</v>
      </c>
      <c r="AC23">
        <f t="shared" si="1"/>
        <v>130.87323384499612</v>
      </c>
      <c r="AD23">
        <f t="shared" si="2"/>
        <v>10.293834445314092</v>
      </c>
      <c r="AE23">
        <f t="shared" si="3"/>
        <v>7.8655001812715373</v>
      </c>
    </row>
    <row r="24" spans="1:31" ht="12" x14ac:dyDescent="0.2">
      <c r="A24" s="1">
        <v>1972</v>
      </c>
      <c r="B24" s="5">
        <v>14210.147000000001</v>
      </c>
      <c r="C24" s="5">
        <v>7150.9340000000002</v>
      </c>
      <c r="D24" s="5">
        <v>7059.2129999999997</v>
      </c>
      <c r="E24" s="6">
        <v>11.101000000000001</v>
      </c>
      <c r="F24" s="6">
        <v>101.29900000000001</v>
      </c>
      <c r="G24" s="6">
        <v>16.893999999999998</v>
      </c>
      <c r="H24" s="5">
        <v>396.96800000000002</v>
      </c>
      <c r="I24" s="6">
        <v>27.934999999999999</v>
      </c>
      <c r="J24" s="5">
        <v>372.863</v>
      </c>
      <c r="K24" s="7">
        <v>2.6240000000000001</v>
      </c>
      <c r="L24" s="6">
        <v>26.416</v>
      </c>
      <c r="M24" s="5">
        <v>586.04300000000001</v>
      </c>
      <c r="N24" s="6">
        <v>41.241</v>
      </c>
      <c r="O24" s="7">
        <v>6.0910000000000002</v>
      </c>
      <c r="P24" s="7">
        <v>2.41</v>
      </c>
      <c r="Q24" s="6">
        <v>29.849</v>
      </c>
      <c r="R24" s="5">
        <v>104.3</v>
      </c>
      <c r="S24" s="5">
        <v>189.07499999999999</v>
      </c>
      <c r="T24" s="5">
        <v>99.981999999999999</v>
      </c>
      <c r="U24" s="5">
        <v>89.093000000000004</v>
      </c>
      <c r="V24" s="6">
        <v>13.305999999999999</v>
      </c>
      <c r="W24" s="6">
        <v>56.988999999999997</v>
      </c>
      <c r="X24" s="6">
        <v>12.375</v>
      </c>
      <c r="Y24" s="5">
        <v>7697.9070000000002</v>
      </c>
      <c r="Z24" s="5">
        <v>5893.9844999999996</v>
      </c>
      <c r="AA24" s="5">
        <v>618.255</v>
      </c>
      <c r="AB24">
        <f t="shared" si="0"/>
        <v>141.09575619006125</v>
      </c>
      <c r="AC24">
        <f t="shared" si="1"/>
        <v>130.60616294460905</v>
      </c>
      <c r="AD24">
        <f t="shared" si="2"/>
        <v>10.489593245452207</v>
      </c>
      <c r="AE24">
        <f t="shared" si="3"/>
        <v>8.0314688135359393</v>
      </c>
    </row>
    <row r="25" spans="1:31" ht="12" x14ac:dyDescent="0.2">
      <c r="A25" s="1">
        <v>1973</v>
      </c>
      <c r="B25" s="5">
        <v>14582.867</v>
      </c>
      <c r="C25" s="5">
        <v>7336.9849999999997</v>
      </c>
      <c r="D25" s="5">
        <v>7245.8819999999996</v>
      </c>
      <c r="E25" s="6">
        <v>11.391999999999999</v>
      </c>
      <c r="F25" s="6">
        <v>101.25700000000001</v>
      </c>
      <c r="G25" s="6">
        <v>16.936</v>
      </c>
      <c r="H25" s="5">
        <v>400.76100000000002</v>
      </c>
      <c r="I25" s="6">
        <v>27.481000000000002</v>
      </c>
      <c r="J25" s="5">
        <v>372.57799999999997</v>
      </c>
      <c r="K25" s="7">
        <v>2.5550000000000002</v>
      </c>
      <c r="L25" s="6">
        <v>27.129000000000001</v>
      </c>
      <c r="M25" s="5">
        <v>592.88800000000003</v>
      </c>
      <c r="N25" s="6">
        <v>40.655999999999999</v>
      </c>
      <c r="O25" s="7">
        <v>5.968</v>
      </c>
      <c r="P25" s="7">
        <v>2.3730000000000002</v>
      </c>
      <c r="Q25" s="6">
        <v>29.806999999999999</v>
      </c>
      <c r="R25" s="5">
        <v>104.4</v>
      </c>
      <c r="S25" s="5">
        <v>192.12700000000001</v>
      </c>
      <c r="T25" s="5">
        <v>101.19199999999999</v>
      </c>
      <c r="U25" s="5">
        <v>90.935000000000002</v>
      </c>
      <c r="V25" s="6">
        <v>13.175000000000001</v>
      </c>
      <c r="W25" s="6">
        <v>57.332999999999998</v>
      </c>
      <c r="X25" s="6">
        <v>12.384</v>
      </c>
      <c r="Y25" s="5">
        <v>7888.2929999999997</v>
      </c>
      <c r="Z25" s="5">
        <v>6055.6584999999995</v>
      </c>
      <c r="AA25" s="5">
        <v>638.91549999999995</v>
      </c>
      <c r="AB25">
        <f t="shared" si="0"/>
        <v>140.81389331977684</v>
      </c>
      <c r="AC25">
        <f t="shared" si="1"/>
        <v>130.26317451685892</v>
      </c>
      <c r="AD25">
        <f t="shared" si="2"/>
        <v>10.550718802917965</v>
      </c>
      <c r="AE25">
        <f t="shared" si="3"/>
        <v>8.0995406737553992</v>
      </c>
    </row>
    <row r="26" spans="1:31" ht="12" x14ac:dyDescent="0.2">
      <c r="A26" s="1">
        <v>1974</v>
      </c>
      <c r="B26" s="5">
        <v>14956.552</v>
      </c>
      <c r="C26" s="5">
        <v>7518.4089999999997</v>
      </c>
      <c r="D26" s="5">
        <v>7438.143</v>
      </c>
      <c r="E26" s="6">
        <v>11.683999999999999</v>
      </c>
      <c r="F26" s="6">
        <v>101.07899999999999</v>
      </c>
      <c r="G26" s="6">
        <v>16.968</v>
      </c>
      <c r="H26" s="5">
        <v>408.29</v>
      </c>
      <c r="I26" s="6">
        <v>27.298999999999999</v>
      </c>
      <c r="J26" s="5">
        <v>374.79300000000001</v>
      </c>
      <c r="K26" s="7">
        <v>2.5059999999999998</v>
      </c>
      <c r="L26" s="6">
        <v>27.66</v>
      </c>
      <c r="M26" s="5">
        <v>599.649</v>
      </c>
      <c r="N26" s="6">
        <v>40.093000000000004</v>
      </c>
      <c r="O26" s="7">
        <v>5.8410000000000002</v>
      </c>
      <c r="P26" s="7">
        <v>2.3359999999999999</v>
      </c>
      <c r="Q26" s="6">
        <v>29.797999999999998</v>
      </c>
      <c r="R26" s="5">
        <v>104.4</v>
      </c>
      <c r="S26" s="5">
        <v>191.35900000000001</v>
      </c>
      <c r="T26" s="5">
        <v>100.708</v>
      </c>
      <c r="U26" s="5">
        <v>90.65</v>
      </c>
      <c r="V26" s="6">
        <v>12.794</v>
      </c>
      <c r="W26" s="6">
        <v>57.768999999999998</v>
      </c>
      <c r="X26" s="6">
        <v>12.41</v>
      </c>
      <c r="Y26" s="5">
        <v>8081.1835000000001</v>
      </c>
      <c r="Z26" s="5">
        <v>6222.9960000000001</v>
      </c>
      <c r="AA26" s="5">
        <v>652.37300000000005</v>
      </c>
      <c r="AB26">
        <f t="shared" si="0"/>
        <v>140.34327677536675</v>
      </c>
      <c r="AC26">
        <f t="shared" si="1"/>
        <v>129.8600143724984</v>
      </c>
      <c r="AD26">
        <f t="shared" si="2"/>
        <v>10.483262402868329</v>
      </c>
      <c r="AE26">
        <f t="shared" si="3"/>
        <v>8.0727408305974002</v>
      </c>
    </row>
    <row r="27" spans="1:31" ht="12" x14ac:dyDescent="0.2">
      <c r="A27" s="1">
        <v>1975</v>
      </c>
      <c r="B27" s="5">
        <v>15333.957</v>
      </c>
      <c r="C27" s="5">
        <v>7701.2129999999997</v>
      </c>
      <c r="D27" s="5">
        <v>7632.7430000000004</v>
      </c>
      <c r="E27" s="6">
        <v>11.978999999999999</v>
      </c>
      <c r="F27" s="6">
        <v>100.89700000000001</v>
      </c>
      <c r="G27" s="6">
        <v>17.010000000000002</v>
      </c>
      <c r="H27" s="5">
        <v>414.39800000000002</v>
      </c>
      <c r="I27" s="6">
        <v>27.024999999999999</v>
      </c>
      <c r="J27" s="5">
        <v>380.01600000000002</v>
      </c>
      <c r="K27" s="7">
        <v>2.4780000000000002</v>
      </c>
      <c r="L27" s="6">
        <v>27.972000000000001</v>
      </c>
      <c r="M27" s="5">
        <v>605.31299999999999</v>
      </c>
      <c r="N27" s="6">
        <v>39.475000000000001</v>
      </c>
      <c r="O27" s="7">
        <v>5.7089999999999996</v>
      </c>
      <c r="P27" s="7">
        <v>2.298</v>
      </c>
      <c r="Q27" s="6">
        <v>29.798999999999999</v>
      </c>
      <c r="R27" s="5">
        <v>104.3</v>
      </c>
      <c r="S27" s="5">
        <v>190.91499999999999</v>
      </c>
      <c r="T27" s="5">
        <v>100.312</v>
      </c>
      <c r="U27" s="5">
        <v>90.602999999999994</v>
      </c>
      <c r="V27" s="6">
        <v>12.45</v>
      </c>
      <c r="W27" s="6">
        <v>58.204999999999998</v>
      </c>
      <c r="X27" s="6">
        <v>12.436999999999999</v>
      </c>
      <c r="Y27" s="5">
        <v>8272.4230000000007</v>
      </c>
      <c r="Z27" s="5">
        <v>6394.1149999999998</v>
      </c>
      <c r="AA27" s="5">
        <v>667.41899999999998</v>
      </c>
      <c r="AB27">
        <f t="shared" si="0"/>
        <v>139.81359421905927</v>
      </c>
      <c r="AC27">
        <f t="shared" si="1"/>
        <v>129.37557425851742</v>
      </c>
      <c r="AD27">
        <f t="shared" si="2"/>
        <v>10.438019960541842</v>
      </c>
      <c r="AE27">
        <f t="shared" si="3"/>
        <v>8.0679989405764179</v>
      </c>
    </row>
    <row r="28" spans="1:31" ht="12" x14ac:dyDescent="0.2">
      <c r="A28" s="1">
        <v>1976</v>
      </c>
      <c r="B28" s="5">
        <v>15716.808999999999</v>
      </c>
      <c r="C28" s="5">
        <v>7886.7740000000003</v>
      </c>
      <c r="D28" s="5">
        <v>7830.0349999999999</v>
      </c>
      <c r="E28" s="6">
        <v>12.278</v>
      </c>
      <c r="F28" s="6">
        <v>100.72499999999999</v>
      </c>
      <c r="G28" s="6">
        <v>17.064</v>
      </c>
      <c r="H28" s="5">
        <v>420.28899999999999</v>
      </c>
      <c r="I28" s="6">
        <v>26.741</v>
      </c>
      <c r="J28" s="5">
        <v>385.68799999999999</v>
      </c>
      <c r="K28" s="7">
        <v>2.4540000000000002</v>
      </c>
      <c r="L28" s="6">
        <v>28.245999999999999</v>
      </c>
      <c r="M28" s="5">
        <v>611.32100000000003</v>
      </c>
      <c r="N28" s="6">
        <v>38.896000000000001</v>
      </c>
      <c r="O28" s="7">
        <v>5.5750000000000002</v>
      </c>
      <c r="P28" s="7">
        <v>2.2549999999999999</v>
      </c>
      <c r="Q28" s="6">
        <v>29.757999999999999</v>
      </c>
      <c r="R28" s="5">
        <v>104.3</v>
      </c>
      <c r="S28" s="5">
        <v>191.03200000000001</v>
      </c>
      <c r="T28" s="5">
        <v>100.29900000000001</v>
      </c>
      <c r="U28" s="5">
        <v>90.733000000000004</v>
      </c>
      <c r="V28" s="6">
        <v>12.154999999999999</v>
      </c>
      <c r="W28" s="6">
        <v>58.57</v>
      </c>
      <c r="X28" s="6">
        <v>12.456</v>
      </c>
      <c r="Y28" s="5">
        <v>8462.9599999999991</v>
      </c>
      <c r="Z28" s="5">
        <v>6571.3405000000002</v>
      </c>
      <c r="AA28" s="5">
        <v>682.50850000000003</v>
      </c>
      <c r="AB28">
        <f t="shared" si="0"/>
        <v>139.17203803394449</v>
      </c>
      <c r="AC28">
        <f t="shared" si="1"/>
        <v>128.7858999240718</v>
      </c>
      <c r="AD28">
        <f t="shared" si="2"/>
        <v>10.386138109872711</v>
      </c>
      <c r="AE28">
        <f t="shared" si="3"/>
        <v>8.0646546834677242</v>
      </c>
    </row>
    <row r="29" spans="1:31" ht="12" x14ac:dyDescent="0.2">
      <c r="A29" s="1">
        <v>1977</v>
      </c>
      <c r="B29" s="5">
        <v>16109.806</v>
      </c>
      <c r="C29" s="5">
        <v>8078.442</v>
      </c>
      <c r="D29" s="5">
        <v>8031.3639999999996</v>
      </c>
      <c r="E29" s="6">
        <v>12.585000000000001</v>
      </c>
      <c r="F29" s="6">
        <v>100.586</v>
      </c>
      <c r="G29" s="6">
        <v>17.13</v>
      </c>
      <c r="H29" s="5">
        <v>425.43099999999998</v>
      </c>
      <c r="I29" s="6">
        <v>26.408000000000001</v>
      </c>
      <c r="J29" s="5">
        <v>400.30500000000001</v>
      </c>
      <c r="K29" s="7">
        <v>2.4849999999999999</v>
      </c>
      <c r="L29" s="6">
        <v>27.893000000000001</v>
      </c>
      <c r="M29" s="5">
        <v>616.82600000000002</v>
      </c>
      <c r="N29" s="6">
        <v>38.289000000000001</v>
      </c>
      <c r="O29" s="7">
        <v>5.44</v>
      </c>
      <c r="P29" s="7">
        <v>2.2120000000000002</v>
      </c>
      <c r="Q29" s="6">
        <v>29.716000000000001</v>
      </c>
      <c r="R29" s="5">
        <v>104.3</v>
      </c>
      <c r="S29" s="5">
        <v>191.39500000000001</v>
      </c>
      <c r="T29" s="5">
        <v>100.627</v>
      </c>
      <c r="U29" s="5">
        <v>90.769000000000005</v>
      </c>
      <c r="V29" s="6">
        <v>11.881</v>
      </c>
      <c r="W29" s="6">
        <v>58.895000000000003</v>
      </c>
      <c r="X29" s="6">
        <v>12.47</v>
      </c>
      <c r="Y29" s="5">
        <v>8655.6710000000003</v>
      </c>
      <c r="Z29" s="5">
        <v>6759.1639999999998</v>
      </c>
      <c r="AA29" s="5">
        <v>694.97050000000002</v>
      </c>
      <c r="AB29">
        <f t="shared" si="0"/>
        <v>138.34020745760867</v>
      </c>
      <c r="AC29">
        <f t="shared" si="1"/>
        <v>128.05830721077339</v>
      </c>
      <c r="AD29">
        <f t="shared" si="2"/>
        <v>10.28190024683526</v>
      </c>
      <c r="AE29">
        <f t="shared" si="3"/>
        <v>8.0290771218083492</v>
      </c>
    </row>
    <row r="30" spans="1:31" ht="12" x14ac:dyDescent="0.2">
      <c r="A30" s="1">
        <v>1978</v>
      </c>
      <c r="B30" s="5">
        <v>16516.059000000001</v>
      </c>
      <c r="C30" s="5">
        <v>8278.1149999999998</v>
      </c>
      <c r="D30" s="5">
        <v>8237.9439999999995</v>
      </c>
      <c r="E30" s="6">
        <v>12.901999999999999</v>
      </c>
      <c r="F30" s="6">
        <v>100.488</v>
      </c>
      <c r="G30" s="6">
        <v>17.204999999999998</v>
      </c>
      <c r="H30" s="5">
        <v>432.14</v>
      </c>
      <c r="I30" s="6">
        <v>26.164000000000001</v>
      </c>
      <c r="J30" s="5">
        <v>412.20299999999997</v>
      </c>
      <c r="K30" s="7">
        <v>2.496</v>
      </c>
      <c r="L30" s="6">
        <v>27.77</v>
      </c>
      <c r="M30" s="5">
        <v>622.81100000000004</v>
      </c>
      <c r="N30" s="6">
        <v>37.709000000000003</v>
      </c>
      <c r="O30" s="7">
        <v>5.3049999999999997</v>
      </c>
      <c r="P30" s="7">
        <v>2.17</v>
      </c>
      <c r="Q30" s="6">
        <v>29.652999999999999</v>
      </c>
      <c r="R30" s="5">
        <v>104.3</v>
      </c>
      <c r="S30" s="5">
        <v>190.67099999999999</v>
      </c>
      <c r="T30" s="5">
        <v>100.66800000000001</v>
      </c>
      <c r="U30" s="5">
        <v>90.003</v>
      </c>
      <c r="V30" s="6">
        <v>11.545</v>
      </c>
      <c r="W30" s="6">
        <v>59.261000000000003</v>
      </c>
      <c r="X30" s="6">
        <v>12.494</v>
      </c>
      <c r="Y30" s="5">
        <v>8851.4174999999996</v>
      </c>
      <c r="Z30" s="5">
        <v>6961.049</v>
      </c>
      <c r="AA30" s="5">
        <v>703.59299999999996</v>
      </c>
      <c r="AB30">
        <f t="shared" si="0"/>
        <v>137.2639454197205</v>
      </c>
      <c r="AC30">
        <f t="shared" si="1"/>
        <v>127.15637398903527</v>
      </c>
      <c r="AD30">
        <f t="shared" si="2"/>
        <v>10.10757143068523</v>
      </c>
      <c r="AE30">
        <f t="shared" si="3"/>
        <v>7.9489302137200051</v>
      </c>
    </row>
    <row r="31" spans="1:31" ht="12" x14ac:dyDescent="0.2">
      <c r="A31" s="1">
        <v>1979</v>
      </c>
      <c r="B31" s="5">
        <v>16933.138999999999</v>
      </c>
      <c r="C31" s="5">
        <v>8483.5650000000005</v>
      </c>
      <c r="D31" s="5">
        <v>8449.5740000000005</v>
      </c>
      <c r="E31" s="6">
        <v>13.228</v>
      </c>
      <c r="F31" s="6">
        <v>100.402</v>
      </c>
      <c r="G31" s="6">
        <v>17.292999999999999</v>
      </c>
      <c r="H31" s="5">
        <v>439.1</v>
      </c>
      <c r="I31" s="6">
        <v>25.931999999999999</v>
      </c>
      <c r="J31" s="5">
        <v>421.95499999999998</v>
      </c>
      <c r="K31" s="7">
        <v>2.492</v>
      </c>
      <c r="L31" s="6">
        <v>27.815000000000001</v>
      </c>
      <c r="M31" s="5">
        <v>628.72299999999996</v>
      </c>
      <c r="N31" s="6">
        <v>37.130000000000003</v>
      </c>
      <c r="O31" s="7">
        <v>5.1710000000000003</v>
      </c>
      <c r="P31" s="7">
        <v>2.129</v>
      </c>
      <c r="Q31" s="6">
        <v>29.59</v>
      </c>
      <c r="R31" s="5">
        <v>104.3</v>
      </c>
      <c r="S31" s="5">
        <v>189.62299999999999</v>
      </c>
      <c r="T31" s="5">
        <v>100.76</v>
      </c>
      <c r="U31" s="5">
        <v>88.863</v>
      </c>
      <c r="V31" s="6">
        <v>11.198</v>
      </c>
      <c r="W31" s="6">
        <v>59.624000000000002</v>
      </c>
      <c r="X31" s="6">
        <v>12.519</v>
      </c>
      <c r="Y31" s="5">
        <v>9047.2965000000004</v>
      </c>
      <c r="Z31" s="5">
        <v>7175.4885000000004</v>
      </c>
      <c r="AA31" s="5">
        <v>710.35350000000005</v>
      </c>
      <c r="AB31">
        <f t="shared" si="0"/>
        <v>135.98586354085856</v>
      </c>
      <c r="AC31">
        <f t="shared" si="1"/>
        <v>126.08614033734429</v>
      </c>
      <c r="AD31">
        <f t="shared" si="2"/>
        <v>9.8997232035142968</v>
      </c>
      <c r="AE31">
        <f t="shared" si="3"/>
        <v>7.8515554342670217</v>
      </c>
    </row>
    <row r="32" spans="1:31" ht="12" x14ac:dyDescent="0.2">
      <c r="A32" s="1">
        <v>1980</v>
      </c>
      <c r="B32" s="5">
        <v>17360.949000000001</v>
      </c>
      <c r="C32" s="5">
        <v>8696.0310000000009</v>
      </c>
      <c r="D32" s="5">
        <v>8664.9179999999997</v>
      </c>
      <c r="E32" s="6">
        <v>13.561999999999999</v>
      </c>
      <c r="F32" s="6">
        <v>100.35899999999999</v>
      </c>
      <c r="G32" s="6">
        <v>17.385999999999999</v>
      </c>
      <c r="H32" s="5">
        <v>445.11099999999999</v>
      </c>
      <c r="I32" s="6">
        <v>25.638000000000002</v>
      </c>
      <c r="J32" s="5">
        <v>433.66699999999997</v>
      </c>
      <c r="K32" s="7">
        <v>2.4980000000000002</v>
      </c>
      <c r="L32" s="6">
        <v>27.748000000000001</v>
      </c>
      <c r="M32" s="5">
        <v>633.52200000000005</v>
      </c>
      <c r="N32" s="6">
        <v>36.491</v>
      </c>
      <c r="O32" s="7">
        <v>5.0410000000000004</v>
      </c>
      <c r="P32" s="7">
        <v>2.0870000000000002</v>
      </c>
      <c r="Q32" s="6">
        <v>29.573</v>
      </c>
      <c r="R32" s="5">
        <v>104.3</v>
      </c>
      <c r="S32" s="5">
        <v>188.411</v>
      </c>
      <c r="T32" s="5">
        <v>100.642</v>
      </c>
      <c r="U32" s="5">
        <v>87.769000000000005</v>
      </c>
      <c r="V32" s="6">
        <v>10.853</v>
      </c>
      <c r="W32" s="6">
        <v>59.981999999999999</v>
      </c>
      <c r="X32" s="6">
        <v>12.55</v>
      </c>
      <c r="Y32" s="5">
        <v>9245.1720000000005</v>
      </c>
      <c r="Z32" s="5">
        <v>7403.3744999999999</v>
      </c>
      <c r="AA32" s="5">
        <v>712.40300000000002</v>
      </c>
      <c r="AB32">
        <f t="shared" si="0"/>
        <v>134.50049028318099</v>
      </c>
      <c r="AC32">
        <f t="shared" si="1"/>
        <v>124.87781078749968</v>
      </c>
      <c r="AD32">
        <f t="shared" si="2"/>
        <v>9.6226794956813286</v>
      </c>
      <c r="AE32">
        <f t="shared" si="3"/>
        <v>7.705676000403237</v>
      </c>
    </row>
    <row r="33" spans="1:31" ht="12" x14ac:dyDescent="0.2">
      <c r="A33" s="1">
        <v>1981</v>
      </c>
      <c r="B33" s="5">
        <v>17798.805</v>
      </c>
      <c r="C33" s="5">
        <v>8914.9590000000007</v>
      </c>
      <c r="D33" s="5">
        <v>8883.8459999999995</v>
      </c>
      <c r="E33" s="6">
        <v>13.904</v>
      </c>
      <c r="F33" s="6">
        <v>100.35</v>
      </c>
      <c r="G33" s="6">
        <v>17.484999999999999</v>
      </c>
      <c r="H33" s="5">
        <v>453.161</v>
      </c>
      <c r="I33" s="6">
        <v>25.46</v>
      </c>
      <c r="J33" s="5">
        <v>442.04399999999998</v>
      </c>
      <c r="K33" s="7">
        <v>2.484</v>
      </c>
      <c r="L33" s="6">
        <v>27.904</v>
      </c>
      <c r="M33" s="5">
        <v>639.22799999999995</v>
      </c>
      <c r="N33" s="6">
        <v>35.914000000000001</v>
      </c>
      <c r="O33" s="7">
        <v>4.915</v>
      </c>
      <c r="P33" s="7">
        <v>2.0470000000000002</v>
      </c>
      <c r="Q33" s="6">
        <v>29.515999999999998</v>
      </c>
      <c r="R33" s="5">
        <v>104.2</v>
      </c>
      <c r="S33" s="5">
        <v>186.06700000000001</v>
      </c>
      <c r="T33" s="5">
        <v>99.879000000000005</v>
      </c>
      <c r="U33" s="5">
        <v>86.188000000000002</v>
      </c>
      <c r="V33" s="6">
        <v>10.454000000000001</v>
      </c>
      <c r="W33" s="6">
        <v>60.325000000000003</v>
      </c>
      <c r="X33" s="6">
        <v>12.576000000000001</v>
      </c>
      <c r="Y33" s="5">
        <v>9444.0365000000002</v>
      </c>
      <c r="Z33" s="5">
        <v>7643.6180000000004</v>
      </c>
      <c r="AA33" s="5">
        <v>711.15049999999997</v>
      </c>
      <c r="AB33">
        <f t="shared" si="0"/>
        <v>132.85837936956034</v>
      </c>
      <c r="AC33">
        <f t="shared" si="1"/>
        <v>123.55453268334446</v>
      </c>
      <c r="AD33">
        <f t="shared" si="2"/>
        <v>9.3038466862158717</v>
      </c>
      <c r="AE33">
        <f t="shared" si="3"/>
        <v>7.5301540818907249</v>
      </c>
    </row>
    <row r="34" spans="1:31" ht="12" x14ac:dyDescent="0.2">
      <c r="A34" s="1">
        <v>1982</v>
      </c>
      <c r="B34" s="5">
        <v>18246.503000000001</v>
      </c>
      <c r="C34" s="5">
        <v>9138.4159999999993</v>
      </c>
      <c r="D34" s="5">
        <v>9108.0859999999993</v>
      </c>
      <c r="E34" s="6">
        <v>14.254</v>
      </c>
      <c r="F34" s="6">
        <v>100.333</v>
      </c>
      <c r="G34" s="6">
        <v>17.597999999999999</v>
      </c>
      <c r="H34" s="5">
        <v>461.11099999999999</v>
      </c>
      <c r="I34" s="6">
        <v>25.271000000000001</v>
      </c>
      <c r="J34" s="5">
        <v>453.35199999999998</v>
      </c>
      <c r="K34" s="7">
        <v>2.4849999999999999</v>
      </c>
      <c r="L34" s="6">
        <v>27.893000000000001</v>
      </c>
      <c r="M34" s="5">
        <v>646.096</v>
      </c>
      <c r="N34" s="6">
        <v>35.408999999999999</v>
      </c>
      <c r="O34" s="7">
        <v>4.7949999999999999</v>
      </c>
      <c r="P34" s="7">
        <v>2.0070000000000001</v>
      </c>
      <c r="Q34" s="6">
        <v>29.414999999999999</v>
      </c>
      <c r="R34" s="5">
        <v>104.3</v>
      </c>
      <c r="S34" s="5">
        <v>184.98500000000001</v>
      </c>
      <c r="T34" s="5">
        <v>99.832999999999998</v>
      </c>
      <c r="U34" s="5">
        <v>85.152000000000001</v>
      </c>
      <c r="V34" s="6">
        <v>10.138</v>
      </c>
      <c r="W34" s="6">
        <v>60.558999999999997</v>
      </c>
      <c r="X34" s="6">
        <v>12.587999999999999</v>
      </c>
      <c r="Y34" s="5">
        <v>9640.9804999999997</v>
      </c>
      <c r="Z34" s="5">
        <v>7894.2209999999995</v>
      </c>
      <c r="AA34" s="5">
        <v>711.30150000000003</v>
      </c>
      <c r="AB34">
        <f t="shared" si="0"/>
        <v>131.13747385587507</v>
      </c>
      <c r="AC34">
        <f t="shared" si="1"/>
        <v>122.12706611583334</v>
      </c>
      <c r="AD34">
        <f t="shared" si="2"/>
        <v>9.0104077400417353</v>
      </c>
      <c r="AE34">
        <f t="shared" si="3"/>
        <v>7.3778958478341501</v>
      </c>
    </row>
    <row r="35" spans="1:31" ht="12" x14ac:dyDescent="0.2">
      <c r="A35" s="1">
        <v>1983</v>
      </c>
      <c r="B35" s="5">
        <v>18705.956999999999</v>
      </c>
      <c r="C35" s="5">
        <v>9367.1980000000003</v>
      </c>
      <c r="D35" s="5">
        <v>9338.7579999999998</v>
      </c>
      <c r="E35" s="6">
        <v>14.613</v>
      </c>
      <c r="F35" s="6">
        <v>100.30500000000001</v>
      </c>
      <c r="G35" s="6">
        <v>17.724</v>
      </c>
      <c r="H35" s="5">
        <v>469.79199999999997</v>
      </c>
      <c r="I35" s="6">
        <v>25.114000000000001</v>
      </c>
      <c r="J35" s="5">
        <v>465.55500000000001</v>
      </c>
      <c r="K35" s="7">
        <v>2.4889999999999999</v>
      </c>
      <c r="L35" s="6">
        <v>27.847999999999999</v>
      </c>
      <c r="M35" s="5">
        <v>654.26499999999999</v>
      </c>
      <c r="N35" s="6">
        <v>34.975999999999999</v>
      </c>
      <c r="O35" s="7">
        <v>4.68</v>
      </c>
      <c r="P35" s="7">
        <v>1.97</v>
      </c>
      <c r="Q35" s="6">
        <v>29.274999999999999</v>
      </c>
      <c r="R35" s="5">
        <v>104.3</v>
      </c>
      <c r="S35" s="5">
        <v>184.47300000000001</v>
      </c>
      <c r="T35" s="5">
        <v>100.508</v>
      </c>
      <c r="U35" s="5">
        <v>83.965000000000003</v>
      </c>
      <c r="V35" s="6">
        <v>9.8620000000000001</v>
      </c>
      <c r="W35" s="6">
        <v>60.764000000000003</v>
      </c>
      <c r="X35" s="6">
        <v>12.596</v>
      </c>
      <c r="Y35" s="5">
        <v>9837.6234999999997</v>
      </c>
      <c r="Z35" s="5">
        <v>8155.3975</v>
      </c>
      <c r="AA35" s="5">
        <v>712.93550000000005</v>
      </c>
      <c r="AB35">
        <f t="shared" si="0"/>
        <v>129.36903443394391</v>
      </c>
      <c r="AC35">
        <f t="shared" si="1"/>
        <v>120.62714907519836</v>
      </c>
      <c r="AD35">
        <f t="shared" si="2"/>
        <v>8.7418853587455434</v>
      </c>
      <c r="AE35">
        <f t="shared" si="3"/>
        <v>7.2470297323332211</v>
      </c>
    </row>
    <row r="36" spans="1:31" ht="12" x14ac:dyDescent="0.2">
      <c r="A36" s="1">
        <v>1984</v>
      </c>
      <c r="B36" s="5">
        <v>19174.716</v>
      </c>
      <c r="C36" s="5">
        <v>9599.7180000000008</v>
      </c>
      <c r="D36" s="5">
        <v>9574.9979999999996</v>
      </c>
      <c r="E36" s="6">
        <v>14.978999999999999</v>
      </c>
      <c r="F36" s="6">
        <v>100.258</v>
      </c>
      <c r="G36" s="6">
        <v>17.856999999999999</v>
      </c>
      <c r="H36" s="5">
        <v>477.97</v>
      </c>
      <c r="I36" s="6">
        <v>24.927</v>
      </c>
      <c r="J36" s="5">
        <v>471.964</v>
      </c>
      <c r="K36" s="7">
        <v>2.4620000000000002</v>
      </c>
      <c r="L36" s="6">
        <v>28.154</v>
      </c>
      <c r="M36" s="5">
        <v>661.41300000000001</v>
      </c>
      <c r="N36" s="6">
        <v>34.494</v>
      </c>
      <c r="O36" s="7">
        <v>4.5679999999999996</v>
      </c>
      <c r="P36" s="7">
        <v>1.9370000000000001</v>
      </c>
      <c r="Q36" s="6">
        <v>29.190999999999999</v>
      </c>
      <c r="R36" s="5">
        <v>104.3</v>
      </c>
      <c r="S36" s="5">
        <v>183.44300000000001</v>
      </c>
      <c r="T36" s="5">
        <v>101.005</v>
      </c>
      <c r="U36" s="5">
        <v>82.438999999999993</v>
      </c>
      <c r="V36" s="6">
        <v>9.5670000000000002</v>
      </c>
      <c r="W36" s="6">
        <v>61.066000000000003</v>
      </c>
      <c r="X36" s="6">
        <v>12.616</v>
      </c>
      <c r="Y36" s="5">
        <v>10033.285</v>
      </c>
      <c r="Z36" s="5">
        <v>8424.76</v>
      </c>
      <c r="AA36" s="5">
        <v>716.67100000000005</v>
      </c>
      <c r="AB36">
        <f t="shared" si="0"/>
        <v>127.59955179732123</v>
      </c>
      <c r="AC36">
        <f t="shared" si="1"/>
        <v>119.09282875713967</v>
      </c>
      <c r="AD36">
        <f t="shared" si="2"/>
        <v>8.5067230401815603</v>
      </c>
      <c r="AE36">
        <f t="shared" si="3"/>
        <v>7.142934741712212</v>
      </c>
    </row>
    <row r="37" spans="1:31" ht="12" x14ac:dyDescent="0.2">
      <c r="A37" s="1">
        <v>1985</v>
      </c>
      <c r="B37" s="5">
        <v>19648.204000000002</v>
      </c>
      <c r="C37" s="5">
        <v>9834.59</v>
      </c>
      <c r="D37" s="5">
        <v>9813.6149999999998</v>
      </c>
      <c r="E37" s="6">
        <v>15.349</v>
      </c>
      <c r="F37" s="6">
        <v>100.214</v>
      </c>
      <c r="G37" s="6">
        <v>17.997</v>
      </c>
      <c r="H37" s="5">
        <v>488.9</v>
      </c>
      <c r="I37" s="6">
        <v>24.882000000000001</v>
      </c>
      <c r="J37" s="5">
        <v>475.01299999999998</v>
      </c>
      <c r="K37" s="7">
        <v>2.4180000000000001</v>
      </c>
      <c r="L37" s="6">
        <v>28.666</v>
      </c>
      <c r="M37" s="5">
        <v>668.85299999999995</v>
      </c>
      <c r="N37" s="6">
        <v>34.040999999999997</v>
      </c>
      <c r="O37" s="7">
        <v>4.46</v>
      </c>
      <c r="P37" s="7">
        <v>1.9019999999999999</v>
      </c>
      <c r="Q37" s="6">
        <v>29.085000000000001</v>
      </c>
      <c r="R37" s="5">
        <v>104.4</v>
      </c>
      <c r="S37" s="5">
        <v>179.953</v>
      </c>
      <c r="T37" s="5">
        <v>98.542000000000002</v>
      </c>
      <c r="U37" s="5">
        <v>81.411000000000001</v>
      </c>
      <c r="V37" s="6">
        <v>9.1590000000000007</v>
      </c>
      <c r="W37" s="6">
        <v>61.71</v>
      </c>
      <c r="X37" s="6">
        <v>12.638</v>
      </c>
      <c r="Y37" s="5">
        <v>10226.218500000001</v>
      </c>
      <c r="Z37" s="5">
        <v>8699.2994999999992</v>
      </c>
      <c r="AA37" s="5">
        <v>722.68650000000002</v>
      </c>
      <c r="AB37">
        <f t="shared" si="0"/>
        <v>125.85961662775263</v>
      </c>
      <c r="AC37">
        <f t="shared" si="1"/>
        <v>117.55220635868442</v>
      </c>
      <c r="AD37">
        <f t="shared" si="2"/>
        <v>8.3074102690682174</v>
      </c>
      <c r="AE37">
        <f t="shared" si="3"/>
        <v>7.0669964659957145</v>
      </c>
    </row>
    <row r="38" spans="1:31" ht="12" x14ac:dyDescent="0.2">
      <c r="A38" s="1">
        <v>1986</v>
      </c>
      <c r="B38" s="5">
        <v>20117.121999999999</v>
      </c>
      <c r="C38" s="5">
        <v>10067.767</v>
      </c>
      <c r="D38" s="5">
        <v>10049.353999999999</v>
      </c>
      <c r="E38" s="6">
        <v>15.715</v>
      </c>
      <c r="F38" s="6">
        <v>100.18300000000001</v>
      </c>
      <c r="G38" s="6">
        <v>18.138000000000002</v>
      </c>
      <c r="H38" s="5">
        <v>496.71300000000002</v>
      </c>
      <c r="I38" s="6">
        <v>24.690999999999999</v>
      </c>
      <c r="J38" s="5">
        <v>462.82100000000003</v>
      </c>
      <c r="K38" s="7">
        <v>2.3010000000000002</v>
      </c>
      <c r="L38" s="6">
        <v>30.123999999999999</v>
      </c>
      <c r="M38" s="5">
        <v>674.78899999999999</v>
      </c>
      <c r="N38" s="6">
        <v>33.542999999999999</v>
      </c>
      <c r="O38" s="7">
        <v>4.3540000000000001</v>
      </c>
      <c r="P38" s="7">
        <v>1.867</v>
      </c>
      <c r="Q38" s="6">
        <v>29.007000000000001</v>
      </c>
      <c r="R38" s="5">
        <v>104.5</v>
      </c>
      <c r="S38" s="5">
        <v>178.07599999999999</v>
      </c>
      <c r="T38" s="5">
        <v>97.641000000000005</v>
      </c>
      <c r="U38" s="5">
        <v>80.435000000000002</v>
      </c>
      <c r="V38" s="6">
        <v>8.8520000000000003</v>
      </c>
      <c r="W38" s="6">
        <v>62.154000000000003</v>
      </c>
      <c r="X38" s="6">
        <v>12.654999999999999</v>
      </c>
      <c r="Y38" s="5">
        <v>10413.777</v>
      </c>
      <c r="Z38" s="5">
        <v>8972.5535</v>
      </c>
      <c r="AA38" s="5">
        <v>730.79100000000005</v>
      </c>
      <c r="AB38">
        <f t="shared" si="0"/>
        <v>124.20731734840031</v>
      </c>
      <c r="AC38">
        <f t="shared" si="1"/>
        <v>116.06257906403121</v>
      </c>
      <c r="AD38">
        <f t="shared" si="2"/>
        <v>8.1447382843691045</v>
      </c>
      <c r="AE38">
        <f t="shared" si="3"/>
        <v>7.0175403218255976</v>
      </c>
    </row>
    <row r="39" spans="1:31" ht="12" x14ac:dyDescent="0.2">
      <c r="A39" s="1">
        <v>1987</v>
      </c>
      <c r="B39" s="5">
        <v>20582.32</v>
      </c>
      <c r="C39" s="5">
        <v>10299.097</v>
      </c>
      <c r="D39" s="5">
        <v>10283.222</v>
      </c>
      <c r="E39" s="6">
        <v>16.079000000000001</v>
      </c>
      <c r="F39" s="6">
        <v>100.154</v>
      </c>
      <c r="G39" s="6">
        <v>18.283999999999999</v>
      </c>
      <c r="H39" s="5">
        <v>502.23099999999999</v>
      </c>
      <c r="I39" s="6">
        <v>24.401</v>
      </c>
      <c r="J39" s="5">
        <v>467.57499999999999</v>
      </c>
      <c r="K39" s="7">
        <v>2.2719999999999998</v>
      </c>
      <c r="L39" s="6">
        <v>30.507999999999999</v>
      </c>
      <c r="M39" s="5">
        <v>678.79</v>
      </c>
      <c r="N39" s="6">
        <v>32.978999999999999</v>
      </c>
      <c r="O39" s="7">
        <v>4.2469999999999999</v>
      </c>
      <c r="P39" s="7">
        <v>1.8320000000000001</v>
      </c>
      <c r="Q39" s="6">
        <v>28.923999999999999</v>
      </c>
      <c r="R39" s="5">
        <v>104.5</v>
      </c>
      <c r="S39" s="5">
        <v>176.559</v>
      </c>
      <c r="T39" s="5">
        <v>97.061000000000007</v>
      </c>
      <c r="U39" s="5">
        <v>79.498000000000005</v>
      </c>
      <c r="V39" s="6">
        <v>8.5779999999999994</v>
      </c>
      <c r="W39" s="6">
        <v>62.543999999999997</v>
      </c>
      <c r="X39" s="6">
        <v>12.67</v>
      </c>
      <c r="Y39" s="5">
        <v>10594.441500000001</v>
      </c>
      <c r="Z39" s="5">
        <v>9246.8425000000007</v>
      </c>
      <c r="AA39" s="5">
        <v>741.03549999999996</v>
      </c>
      <c r="AB39">
        <f t="shared" si="0"/>
        <v>122.58754272066383</v>
      </c>
      <c r="AC39">
        <f t="shared" si="1"/>
        <v>114.57361256017933</v>
      </c>
      <c r="AD39">
        <f t="shared" si="2"/>
        <v>8.0139301604845095</v>
      </c>
      <c r="AE39">
        <f t="shared" si="3"/>
        <v>6.9945688028953663</v>
      </c>
    </row>
    <row r="40" spans="1:31" ht="12" x14ac:dyDescent="0.2">
      <c r="A40" s="1">
        <v>1988</v>
      </c>
      <c r="B40" s="5">
        <v>21054.702000000001</v>
      </c>
      <c r="C40" s="5">
        <v>10533.932000000001</v>
      </c>
      <c r="D40" s="5">
        <v>10520.771000000001</v>
      </c>
      <c r="E40" s="6">
        <v>16.448</v>
      </c>
      <c r="F40" s="6">
        <v>100.125</v>
      </c>
      <c r="G40" s="6">
        <v>18.440999999999999</v>
      </c>
      <c r="H40" s="5">
        <v>508.42599999999999</v>
      </c>
      <c r="I40" s="6">
        <v>24.148</v>
      </c>
      <c r="J40" s="5">
        <v>477.19099999999997</v>
      </c>
      <c r="K40" s="7">
        <v>2.2669999999999999</v>
      </c>
      <c r="L40" s="6">
        <v>30.576000000000001</v>
      </c>
      <c r="M40" s="5">
        <v>682.98800000000006</v>
      </c>
      <c r="N40" s="6">
        <v>32.439</v>
      </c>
      <c r="O40" s="7">
        <v>4.1379999999999999</v>
      </c>
      <c r="P40" s="7">
        <v>1.796</v>
      </c>
      <c r="Q40" s="6">
        <v>28.79</v>
      </c>
      <c r="R40" s="5">
        <v>104.5</v>
      </c>
      <c r="S40" s="5">
        <v>174.56200000000001</v>
      </c>
      <c r="T40" s="5">
        <v>96.147999999999996</v>
      </c>
      <c r="U40" s="5">
        <v>78.412999999999997</v>
      </c>
      <c r="V40" s="6">
        <v>8.2910000000000004</v>
      </c>
      <c r="W40" s="6">
        <v>62.994999999999997</v>
      </c>
      <c r="X40" s="6">
        <v>12.72</v>
      </c>
      <c r="Y40" s="5">
        <v>10769.985500000001</v>
      </c>
      <c r="Z40" s="5">
        <v>9531.3165000000008</v>
      </c>
      <c r="AA40" s="5">
        <v>753.40049999999997</v>
      </c>
      <c r="AB40">
        <f t="shared" si="0"/>
        <v>120.90025548936498</v>
      </c>
      <c r="AC40">
        <f t="shared" si="1"/>
        <v>112.99578080320802</v>
      </c>
      <c r="AD40">
        <f t="shared" si="2"/>
        <v>7.9044746861569424</v>
      </c>
      <c r="AE40">
        <f t="shared" si="3"/>
        <v>6.9953715350870231</v>
      </c>
    </row>
    <row r="41" spans="1:31" ht="12" x14ac:dyDescent="0.2">
      <c r="A41" s="1">
        <v>1989</v>
      </c>
      <c r="B41" s="5">
        <v>21532.589</v>
      </c>
      <c r="C41" s="5">
        <v>10771.196</v>
      </c>
      <c r="D41" s="5">
        <v>10761.392</v>
      </c>
      <c r="E41" s="6">
        <v>16.821000000000002</v>
      </c>
      <c r="F41" s="6">
        <v>100.09099999999999</v>
      </c>
      <c r="G41" s="6">
        <v>18.606000000000002</v>
      </c>
      <c r="H41" s="5">
        <v>512.14400000000001</v>
      </c>
      <c r="I41" s="6">
        <v>23.785</v>
      </c>
      <c r="J41" s="5">
        <v>478.58100000000002</v>
      </c>
      <c r="K41" s="7">
        <v>2.2229999999999999</v>
      </c>
      <c r="L41" s="6">
        <v>31.181000000000001</v>
      </c>
      <c r="M41" s="5">
        <v>685.11800000000005</v>
      </c>
      <c r="N41" s="6">
        <v>31.818000000000001</v>
      </c>
      <c r="O41" s="7">
        <v>4.0259999999999998</v>
      </c>
      <c r="P41" s="7">
        <v>1.76</v>
      </c>
      <c r="Q41" s="6">
        <v>28.707999999999998</v>
      </c>
      <c r="R41" s="5">
        <v>104.4</v>
      </c>
      <c r="S41" s="5">
        <v>172.97399999999999</v>
      </c>
      <c r="T41" s="5">
        <v>95.775999999999996</v>
      </c>
      <c r="U41" s="5">
        <v>77.197999999999993</v>
      </c>
      <c r="V41" s="6">
        <v>8.0329999999999995</v>
      </c>
      <c r="W41" s="6">
        <v>63.405000000000001</v>
      </c>
      <c r="X41" s="6">
        <v>12.768000000000001</v>
      </c>
      <c r="Y41" s="5">
        <v>10940.726000000001</v>
      </c>
      <c r="Z41" s="5">
        <v>9824.3289999999997</v>
      </c>
      <c r="AA41" s="5">
        <v>767.5335</v>
      </c>
      <c r="AB41">
        <f t="shared" si="0"/>
        <v>119.17617477997734</v>
      </c>
      <c r="AC41">
        <f t="shared" si="1"/>
        <v>111.36359541705087</v>
      </c>
      <c r="AD41">
        <f t="shared" si="2"/>
        <v>7.8125793629264653</v>
      </c>
      <c r="AE41">
        <f t="shared" si="3"/>
        <v>7.0153799665579779</v>
      </c>
    </row>
    <row r="42" spans="1:31" ht="12" x14ac:dyDescent="0.2">
      <c r="A42" s="1">
        <v>1990</v>
      </c>
      <c r="B42" s="5">
        <v>22014.771000000001</v>
      </c>
      <c r="C42" s="5">
        <v>11010.544</v>
      </c>
      <c r="D42" s="5">
        <v>11004.227999999999</v>
      </c>
      <c r="E42" s="6">
        <v>17.198</v>
      </c>
      <c r="F42" s="6">
        <v>100.057</v>
      </c>
      <c r="G42" s="6">
        <v>18.783999999999999</v>
      </c>
      <c r="H42" s="5">
        <v>515.22299999999996</v>
      </c>
      <c r="I42" s="6">
        <v>23.404</v>
      </c>
      <c r="J42" s="5">
        <v>485.78500000000003</v>
      </c>
      <c r="K42" s="7">
        <v>2.2069999999999999</v>
      </c>
      <c r="L42" s="6">
        <v>31.407</v>
      </c>
      <c r="M42" s="5">
        <v>685.18700000000001</v>
      </c>
      <c r="N42" s="6">
        <v>31.123999999999999</v>
      </c>
      <c r="O42" s="7">
        <v>3.9119999999999999</v>
      </c>
      <c r="P42" s="7">
        <v>1.7190000000000001</v>
      </c>
      <c r="Q42" s="6">
        <v>28.652000000000001</v>
      </c>
      <c r="R42" s="5">
        <v>104.3</v>
      </c>
      <c r="S42" s="5">
        <v>169.964</v>
      </c>
      <c r="T42" s="5">
        <v>93.799000000000007</v>
      </c>
      <c r="U42" s="5">
        <v>76.165999999999997</v>
      </c>
      <c r="V42" s="6">
        <v>7.72</v>
      </c>
      <c r="W42" s="6">
        <v>63.978999999999999</v>
      </c>
      <c r="X42" s="6">
        <v>12.840999999999999</v>
      </c>
      <c r="Y42" s="5">
        <v>11105.584999999999</v>
      </c>
      <c r="Z42" s="5">
        <v>10125.798500000001</v>
      </c>
      <c r="AA42" s="5">
        <v>783.38800000000003</v>
      </c>
      <c r="AB42">
        <f t="shared" si="0"/>
        <v>117.41269589751366</v>
      </c>
      <c r="AC42">
        <f t="shared" si="1"/>
        <v>109.67614060263986</v>
      </c>
      <c r="AD42">
        <f t="shared" si="2"/>
        <v>7.7365552948737815</v>
      </c>
      <c r="AE42">
        <f t="shared" si="3"/>
        <v>7.0540003070527133</v>
      </c>
    </row>
    <row r="43" spans="1:31" ht="12" x14ac:dyDescent="0.2">
      <c r="A43" s="1">
        <v>1991</v>
      </c>
      <c r="B43" s="5">
        <v>22483.775000000001</v>
      </c>
      <c r="C43" s="5">
        <v>11243.647000000001</v>
      </c>
      <c r="D43" s="5">
        <v>11240.128000000001</v>
      </c>
      <c r="E43" s="6">
        <v>17.564</v>
      </c>
      <c r="F43" s="6">
        <v>100.03100000000001</v>
      </c>
      <c r="G43" s="6">
        <v>18.968</v>
      </c>
      <c r="H43" s="5">
        <v>513.87300000000005</v>
      </c>
      <c r="I43" s="6">
        <v>22.855</v>
      </c>
      <c r="J43" s="5">
        <v>452.22199999999998</v>
      </c>
      <c r="K43" s="7">
        <v>2.0110000000000001</v>
      </c>
      <c r="L43" s="6">
        <v>34.468000000000004</v>
      </c>
      <c r="M43" s="5">
        <v>683.76300000000003</v>
      </c>
      <c r="N43" s="6">
        <v>30.411000000000001</v>
      </c>
      <c r="O43" s="7">
        <v>3.794</v>
      </c>
      <c r="P43" s="7">
        <v>1.6719999999999999</v>
      </c>
      <c r="Q43" s="6">
        <v>28.599</v>
      </c>
      <c r="R43" s="5">
        <v>104.3</v>
      </c>
      <c r="S43" s="5">
        <v>169.89</v>
      </c>
      <c r="T43" s="5">
        <v>93.433999999999997</v>
      </c>
      <c r="U43" s="5">
        <v>76.456000000000003</v>
      </c>
      <c r="V43" s="6">
        <v>7.556</v>
      </c>
      <c r="W43" s="6">
        <v>64.248000000000005</v>
      </c>
      <c r="X43" s="6">
        <v>12.875999999999999</v>
      </c>
      <c r="Y43" s="5">
        <v>11256.977500000001</v>
      </c>
      <c r="Z43" s="5">
        <v>10425.9995</v>
      </c>
      <c r="AA43" s="5">
        <v>800.798</v>
      </c>
      <c r="AB43">
        <f t="shared" si="0"/>
        <v>115.65102703102951</v>
      </c>
      <c r="AC43">
        <f t="shared" si="1"/>
        <v>107.97024784050681</v>
      </c>
      <c r="AD43">
        <f t="shared" si="2"/>
        <v>7.6807791905226939</v>
      </c>
      <c r="AE43">
        <f t="shared" si="3"/>
        <v>7.1137923123680391</v>
      </c>
    </row>
    <row r="44" spans="1:31" ht="12" x14ac:dyDescent="0.2">
      <c r="A44" s="1">
        <v>1992</v>
      </c>
      <c r="B44" s="5">
        <v>22946.34</v>
      </c>
      <c r="C44" s="5">
        <v>11473.614</v>
      </c>
      <c r="D44" s="5">
        <v>11472.726000000001</v>
      </c>
      <c r="E44" s="6">
        <v>17.925999999999998</v>
      </c>
      <c r="F44" s="6">
        <v>100.008</v>
      </c>
      <c r="G44" s="6">
        <v>19.164000000000001</v>
      </c>
      <c r="H44" s="5">
        <v>514.60500000000002</v>
      </c>
      <c r="I44" s="6">
        <v>22.427</v>
      </c>
      <c r="J44" s="5">
        <v>472.90899999999999</v>
      </c>
      <c r="K44" s="7">
        <v>2.0609999999999999</v>
      </c>
      <c r="L44" s="6">
        <v>33.631999999999998</v>
      </c>
      <c r="M44" s="5">
        <v>679.32399999999996</v>
      </c>
      <c r="N44" s="6">
        <v>29.605</v>
      </c>
      <c r="O44" s="7">
        <v>3.673</v>
      </c>
      <c r="P44" s="7">
        <v>1.6339999999999999</v>
      </c>
      <c r="Q44" s="6">
        <v>28.527999999999999</v>
      </c>
      <c r="R44" s="5">
        <v>104.1</v>
      </c>
      <c r="S44" s="5">
        <v>164.71899999999999</v>
      </c>
      <c r="T44" s="5">
        <v>90.57</v>
      </c>
      <c r="U44" s="5">
        <v>74.149000000000001</v>
      </c>
      <c r="V44" s="6">
        <v>7.1779999999999999</v>
      </c>
      <c r="W44" s="6">
        <v>65.031000000000006</v>
      </c>
      <c r="X44" s="6">
        <v>12.986000000000001</v>
      </c>
      <c r="Y44" s="5">
        <v>11395.531000000001</v>
      </c>
      <c r="Z44" s="5">
        <v>10730.969499999999</v>
      </c>
      <c r="AA44" s="5">
        <v>819.84</v>
      </c>
      <c r="AB44">
        <f t="shared" si="0"/>
        <v>113.83287409399496</v>
      </c>
      <c r="AC44">
        <f t="shared" si="1"/>
        <v>106.19293065738378</v>
      </c>
      <c r="AD44">
        <f t="shared" si="2"/>
        <v>7.6399434366112029</v>
      </c>
      <c r="AE44">
        <f t="shared" si="3"/>
        <v>7.194399278102968</v>
      </c>
    </row>
    <row r="45" spans="1:31" ht="12" x14ac:dyDescent="0.2">
      <c r="A45" s="1">
        <v>1993</v>
      </c>
      <c r="B45" s="5">
        <v>23413.782999999999</v>
      </c>
      <c r="C45" s="5">
        <v>11706.335999999999</v>
      </c>
      <c r="D45" s="5">
        <v>11707.447</v>
      </c>
      <c r="E45" s="6">
        <v>18.291</v>
      </c>
      <c r="F45" s="6">
        <v>99.991</v>
      </c>
      <c r="G45" s="6">
        <v>19.376999999999999</v>
      </c>
      <c r="H45" s="5">
        <v>513.75599999999997</v>
      </c>
      <c r="I45" s="6">
        <v>21.943000000000001</v>
      </c>
      <c r="J45" s="5">
        <v>461.976</v>
      </c>
      <c r="K45" s="7">
        <v>1.9730000000000001</v>
      </c>
      <c r="L45" s="6">
        <v>35.131999999999998</v>
      </c>
      <c r="M45" s="5">
        <v>674.28700000000003</v>
      </c>
      <c r="N45" s="6">
        <v>28.798999999999999</v>
      </c>
      <c r="O45" s="7">
        <v>3.552</v>
      </c>
      <c r="P45" s="7">
        <v>1.59</v>
      </c>
      <c r="Q45" s="6">
        <v>28.481999999999999</v>
      </c>
      <c r="R45" s="5">
        <v>104</v>
      </c>
      <c r="S45" s="5">
        <v>160.53100000000001</v>
      </c>
      <c r="T45" s="5">
        <v>87.613</v>
      </c>
      <c r="U45" s="5">
        <v>72.918000000000006</v>
      </c>
      <c r="V45" s="6">
        <v>6.8559999999999999</v>
      </c>
      <c r="W45" s="6">
        <v>65.731999999999999</v>
      </c>
      <c r="X45" s="6">
        <v>13.093</v>
      </c>
      <c r="Y45" s="5">
        <v>11524.884</v>
      </c>
      <c r="Z45" s="5">
        <v>11047.7505</v>
      </c>
      <c r="AA45" s="5">
        <v>841.14850000000001</v>
      </c>
      <c r="AB45">
        <f t="shared" si="0"/>
        <v>111.93258301769215</v>
      </c>
      <c r="AC45">
        <f t="shared" si="1"/>
        <v>104.31882943047998</v>
      </c>
      <c r="AD45">
        <f t="shared" si="2"/>
        <v>7.613753587212166</v>
      </c>
      <c r="AE45">
        <f t="shared" si="3"/>
        <v>7.298542007017164</v>
      </c>
    </row>
    <row r="46" spans="1:31" ht="12" x14ac:dyDescent="0.2">
      <c r="A46" s="1">
        <v>1994</v>
      </c>
      <c r="B46" s="5">
        <v>23881.492999999999</v>
      </c>
      <c r="C46" s="5">
        <v>11940.674999999999</v>
      </c>
      <c r="D46" s="5">
        <v>11940.817999999999</v>
      </c>
      <c r="E46" s="6">
        <v>18.655999999999999</v>
      </c>
      <c r="F46" s="6">
        <v>99.998999999999995</v>
      </c>
      <c r="G46" s="6">
        <v>19.619</v>
      </c>
      <c r="H46" s="5">
        <v>512.73699999999997</v>
      </c>
      <c r="I46" s="6">
        <v>21.47</v>
      </c>
      <c r="J46" s="5">
        <v>473.44400000000002</v>
      </c>
      <c r="K46" s="7">
        <v>1.9830000000000001</v>
      </c>
      <c r="L46" s="6">
        <v>34.954000000000001</v>
      </c>
      <c r="M46" s="5">
        <v>668.05499999999995</v>
      </c>
      <c r="N46" s="6">
        <v>27.974</v>
      </c>
      <c r="O46" s="7">
        <v>3.4319999999999999</v>
      </c>
      <c r="P46" s="7">
        <v>1.546</v>
      </c>
      <c r="Q46" s="6">
        <v>28.419</v>
      </c>
      <c r="R46" s="5">
        <v>104.1</v>
      </c>
      <c r="S46" s="5">
        <v>155.31800000000001</v>
      </c>
      <c r="T46" s="5">
        <v>83.807000000000002</v>
      </c>
      <c r="U46" s="5">
        <v>71.510999999999996</v>
      </c>
      <c r="V46" s="6">
        <v>6.5039999999999996</v>
      </c>
      <c r="W46" s="6">
        <v>66.543999999999997</v>
      </c>
      <c r="X46" s="6">
        <v>13.23</v>
      </c>
      <c r="Y46" s="5">
        <v>11636.831</v>
      </c>
      <c r="Z46" s="5">
        <v>11372.468000000001</v>
      </c>
      <c r="AA46" s="5">
        <v>872.19399999999996</v>
      </c>
      <c r="AB46">
        <f t="shared" si="0"/>
        <v>109.99393447402971</v>
      </c>
      <c r="AC46">
        <f t="shared" si="1"/>
        <v>102.32458776758044</v>
      </c>
      <c r="AD46">
        <f t="shared" si="2"/>
        <v>7.6693467064492937</v>
      </c>
      <c r="AE46">
        <f t="shared" si="3"/>
        <v>7.4951161531863777</v>
      </c>
    </row>
    <row r="47" spans="1:31" ht="12" x14ac:dyDescent="0.2">
      <c r="A47" s="1">
        <v>1995</v>
      </c>
      <c r="B47" s="5">
        <v>24348.919000000002</v>
      </c>
      <c r="C47" s="5">
        <v>12176.431</v>
      </c>
      <c r="D47" s="5">
        <v>12172.487999999999</v>
      </c>
      <c r="E47" s="6">
        <v>19.021000000000001</v>
      </c>
      <c r="F47" s="6">
        <v>100.032</v>
      </c>
      <c r="G47" s="6">
        <v>19.891999999999999</v>
      </c>
      <c r="H47" s="5">
        <v>507.911</v>
      </c>
      <c r="I47" s="6">
        <v>20.859000000000002</v>
      </c>
      <c r="J47" s="5">
        <v>461.40800000000002</v>
      </c>
      <c r="K47" s="7">
        <v>1.895</v>
      </c>
      <c r="L47" s="6">
        <v>36.578000000000003</v>
      </c>
      <c r="M47" s="5">
        <v>661.279</v>
      </c>
      <c r="N47" s="6">
        <v>27.158000000000001</v>
      </c>
      <c r="O47" s="7">
        <v>3.3149999999999999</v>
      </c>
      <c r="P47" s="7">
        <v>1.502</v>
      </c>
      <c r="Q47" s="6">
        <v>28.379000000000001</v>
      </c>
      <c r="R47" s="5">
        <v>104.1</v>
      </c>
      <c r="S47" s="5">
        <v>153.36799999999999</v>
      </c>
      <c r="T47" s="5">
        <v>82.159000000000006</v>
      </c>
      <c r="U47" s="5">
        <v>71.209000000000003</v>
      </c>
      <c r="V47" s="6">
        <v>6.2990000000000004</v>
      </c>
      <c r="W47" s="6">
        <v>67.22</v>
      </c>
      <c r="X47" s="6">
        <v>13.355</v>
      </c>
      <c r="Y47" s="5">
        <v>11730.416999999999</v>
      </c>
      <c r="Z47" s="5">
        <v>11704.7965</v>
      </c>
      <c r="AA47" s="5">
        <v>913.70550000000003</v>
      </c>
      <c r="AB47">
        <f t="shared" si="0"/>
        <v>108.02513738705323</v>
      </c>
      <c r="AC47">
        <f t="shared" si="1"/>
        <v>100.21888889738493</v>
      </c>
      <c r="AD47">
        <f t="shared" si="2"/>
        <v>7.8062484896683175</v>
      </c>
      <c r="AE47">
        <f t="shared" si="3"/>
        <v>7.7891987983035902</v>
      </c>
    </row>
    <row r="48" spans="1:31" ht="12" x14ac:dyDescent="0.2">
      <c r="A48" s="1">
        <v>1996</v>
      </c>
      <c r="B48" s="5">
        <v>24811.170999999998</v>
      </c>
      <c r="C48" s="5">
        <v>12410.073</v>
      </c>
      <c r="D48" s="5">
        <v>12401.098</v>
      </c>
      <c r="E48" s="6">
        <v>19.382000000000001</v>
      </c>
      <c r="F48" s="6">
        <v>100.072</v>
      </c>
      <c r="G48" s="6">
        <v>20.175000000000001</v>
      </c>
      <c r="H48" s="5">
        <v>501.85300000000001</v>
      </c>
      <c r="I48" s="6">
        <v>20.227</v>
      </c>
      <c r="J48" s="5">
        <v>463.096</v>
      </c>
      <c r="K48" s="7">
        <v>1.867</v>
      </c>
      <c r="L48" s="6">
        <v>37.125999999999998</v>
      </c>
      <c r="M48" s="5">
        <v>653.86599999999999</v>
      </c>
      <c r="N48" s="6">
        <v>26.353999999999999</v>
      </c>
      <c r="O48" s="7">
        <v>3.2029999999999998</v>
      </c>
      <c r="P48" s="7">
        <v>1.46</v>
      </c>
      <c r="Q48" s="6">
        <v>28.343</v>
      </c>
      <c r="R48" s="5">
        <v>104</v>
      </c>
      <c r="S48" s="5">
        <v>152.01300000000001</v>
      </c>
      <c r="T48" s="5">
        <v>80.980999999999995</v>
      </c>
      <c r="U48" s="5">
        <v>71.033000000000001</v>
      </c>
      <c r="V48" s="6">
        <v>6.1269999999999998</v>
      </c>
      <c r="W48" s="6">
        <v>67.849999999999994</v>
      </c>
      <c r="X48" s="6">
        <v>13.462</v>
      </c>
      <c r="Y48" s="5">
        <v>11812.970499999999</v>
      </c>
      <c r="Z48" s="5">
        <v>12041.630499999999</v>
      </c>
      <c r="AA48" s="5">
        <v>956.57</v>
      </c>
      <c r="AB48">
        <f t="shared" si="0"/>
        <v>106.04494549139338</v>
      </c>
      <c r="AC48">
        <f t="shared" si="1"/>
        <v>98.101087722298075</v>
      </c>
      <c r="AD48">
        <f t="shared" si="2"/>
        <v>7.9438577690953069</v>
      </c>
      <c r="AE48">
        <f t="shared" si="3"/>
        <v>8.0976245559912314</v>
      </c>
    </row>
    <row r="49" spans="1:31" ht="12" x14ac:dyDescent="0.2">
      <c r="A49" s="1">
        <v>1997</v>
      </c>
      <c r="B49" s="5">
        <v>25274.147000000001</v>
      </c>
      <c r="C49" s="5">
        <v>12643.965</v>
      </c>
      <c r="D49" s="5">
        <v>12630.183000000001</v>
      </c>
      <c r="E49" s="6">
        <v>19.744</v>
      </c>
      <c r="F49" s="6">
        <v>100.10899999999999</v>
      </c>
      <c r="G49" s="6">
        <v>20.466000000000001</v>
      </c>
      <c r="H49" s="5">
        <v>495.358</v>
      </c>
      <c r="I49" s="6">
        <v>19.599</v>
      </c>
      <c r="J49" s="5">
        <v>462.85700000000003</v>
      </c>
      <c r="K49" s="7">
        <v>1.831</v>
      </c>
      <c r="L49" s="6">
        <v>37.856000000000002</v>
      </c>
      <c r="M49" s="5">
        <v>647.09299999999996</v>
      </c>
      <c r="N49" s="6">
        <v>25.603000000000002</v>
      </c>
      <c r="O49" s="7">
        <v>3.0990000000000002</v>
      </c>
      <c r="P49" s="7">
        <v>1.419</v>
      </c>
      <c r="Q49" s="6">
        <v>28.309000000000001</v>
      </c>
      <c r="R49" s="5">
        <v>104</v>
      </c>
      <c r="S49" s="5">
        <v>151.73500000000001</v>
      </c>
      <c r="T49" s="5">
        <v>80.849000000000004</v>
      </c>
      <c r="U49" s="5">
        <v>70.885999999999996</v>
      </c>
      <c r="V49" s="6">
        <v>6.0039999999999996</v>
      </c>
      <c r="W49" s="6">
        <v>68.323999999999998</v>
      </c>
      <c r="X49" s="6">
        <v>13.55</v>
      </c>
      <c r="Y49" s="5">
        <v>11888.568499999999</v>
      </c>
      <c r="Z49" s="5">
        <v>12386.943499999999</v>
      </c>
      <c r="AA49" s="5">
        <v>998.63549999999998</v>
      </c>
      <c r="AB49">
        <f t="shared" si="0"/>
        <v>104.03861130068124</v>
      </c>
      <c r="AC49">
        <f t="shared" si="1"/>
        <v>95.976610372042131</v>
      </c>
      <c r="AD49">
        <f t="shared" si="2"/>
        <v>8.0620009286390939</v>
      </c>
      <c r="AE49">
        <f t="shared" si="3"/>
        <v>8.3999642177273071</v>
      </c>
    </row>
    <row r="50" spans="1:31" ht="12" x14ac:dyDescent="0.2">
      <c r="A50" s="1">
        <v>1998</v>
      </c>
      <c r="B50" s="5">
        <v>25738.095000000001</v>
      </c>
      <c r="C50" s="5">
        <v>12877.882</v>
      </c>
      <c r="D50" s="5">
        <v>12860.213</v>
      </c>
      <c r="E50" s="6">
        <v>20.106999999999999</v>
      </c>
      <c r="F50" s="6">
        <v>100.137</v>
      </c>
      <c r="G50" s="6">
        <v>20.763999999999999</v>
      </c>
      <c r="H50" s="5">
        <v>489.42700000000002</v>
      </c>
      <c r="I50" s="6">
        <v>19.015999999999998</v>
      </c>
      <c r="J50" s="5">
        <v>465.03899999999999</v>
      </c>
      <c r="K50" s="7">
        <v>1.8069999999999999</v>
      </c>
      <c r="L50" s="6">
        <v>38.359000000000002</v>
      </c>
      <c r="M50" s="5">
        <v>641.36500000000001</v>
      </c>
      <c r="N50" s="6">
        <v>24.919</v>
      </c>
      <c r="O50" s="7">
        <v>3.0019999999999998</v>
      </c>
      <c r="P50" s="7">
        <v>1.381</v>
      </c>
      <c r="Q50" s="6">
        <v>28.277999999999999</v>
      </c>
      <c r="R50" s="5">
        <v>104</v>
      </c>
      <c r="S50" s="5">
        <v>151.93799999999999</v>
      </c>
      <c r="T50" s="5">
        <v>81.278000000000006</v>
      </c>
      <c r="U50" s="5">
        <v>70.66</v>
      </c>
      <c r="V50" s="6">
        <v>5.9029999999999996</v>
      </c>
      <c r="W50" s="6">
        <v>68.724000000000004</v>
      </c>
      <c r="X50" s="6">
        <v>13.629</v>
      </c>
      <c r="Y50" s="5">
        <v>11957.722</v>
      </c>
      <c r="Z50" s="5">
        <v>12740.59</v>
      </c>
      <c r="AA50" s="5">
        <v>1039.7835</v>
      </c>
      <c r="AB50">
        <f t="shared" si="0"/>
        <v>102.01651179419477</v>
      </c>
      <c r="AC50">
        <f t="shared" si="1"/>
        <v>93.855323811534632</v>
      </c>
      <c r="AD50">
        <f t="shared" si="2"/>
        <v>8.1611879826601434</v>
      </c>
      <c r="AE50">
        <f t="shared" si="3"/>
        <v>8.6954981893708521</v>
      </c>
    </row>
    <row r="51" spans="1:31" ht="12" x14ac:dyDescent="0.2">
      <c r="A51" s="1">
        <v>1999</v>
      </c>
      <c r="B51" s="5">
        <v>26186.504000000001</v>
      </c>
      <c r="C51" s="5">
        <v>13104.053</v>
      </c>
      <c r="D51" s="5">
        <v>13082.450999999999</v>
      </c>
      <c r="E51" s="6">
        <v>20.457000000000001</v>
      </c>
      <c r="F51" s="6">
        <v>100.16500000000001</v>
      </c>
      <c r="G51" s="6">
        <v>21.071999999999999</v>
      </c>
      <c r="H51" s="5">
        <v>487.11700000000002</v>
      </c>
      <c r="I51" s="6">
        <v>18.600999999999999</v>
      </c>
      <c r="J51" s="5">
        <v>431.779</v>
      </c>
      <c r="K51" s="7">
        <v>1.649</v>
      </c>
      <c r="L51" s="6">
        <v>42.033999999999999</v>
      </c>
      <c r="M51" s="5">
        <v>637.20600000000002</v>
      </c>
      <c r="N51" s="6">
        <v>24.332999999999998</v>
      </c>
      <c r="O51" s="7">
        <v>2.9169999999999998</v>
      </c>
      <c r="P51" s="7">
        <v>1.349</v>
      </c>
      <c r="Q51" s="6">
        <v>28.257000000000001</v>
      </c>
      <c r="R51" s="5">
        <v>104</v>
      </c>
      <c r="S51" s="5">
        <v>150.089</v>
      </c>
      <c r="T51" s="5">
        <v>80.564999999999998</v>
      </c>
      <c r="U51" s="5">
        <v>69.524000000000001</v>
      </c>
      <c r="V51" s="6">
        <v>5.7320000000000002</v>
      </c>
      <c r="W51" s="6">
        <v>69.302000000000007</v>
      </c>
      <c r="X51" s="6">
        <v>13.750999999999999</v>
      </c>
      <c r="Y51" s="5">
        <v>12011.262000000001</v>
      </c>
      <c r="Z51" s="5">
        <v>13089.1075</v>
      </c>
      <c r="AA51" s="5">
        <v>1086.135</v>
      </c>
      <c r="AB51">
        <f t="shared" si="0"/>
        <v>100.06333128519267</v>
      </c>
      <c r="AC51">
        <f t="shared" si="1"/>
        <v>91.765324717517984</v>
      </c>
      <c r="AD51">
        <f t="shared" si="2"/>
        <v>8.2980065676746868</v>
      </c>
      <c r="AE51">
        <f t="shared" si="3"/>
        <v>9.0426384837829694</v>
      </c>
    </row>
    <row r="52" spans="1:31" ht="12" x14ac:dyDescent="0.2">
      <c r="A52" s="1">
        <v>2000</v>
      </c>
      <c r="B52" s="5">
        <v>26598.330999999998</v>
      </c>
      <c r="C52" s="5">
        <v>13312.624</v>
      </c>
      <c r="D52" s="5">
        <v>13285.707</v>
      </c>
      <c r="E52" s="6">
        <v>20.779</v>
      </c>
      <c r="F52" s="6">
        <v>100.203</v>
      </c>
      <c r="G52" s="6">
        <v>21.395</v>
      </c>
      <c r="H52" s="5">
        <v>484.22699999999998</v>
      </c>
      <c r="I52" s="6">
        <v>18.204999999999998</v>
      </c>
      <c r="J52" s="5">
        <v>391.87400000000002</v>
      </c>
      <c r="K52" s="7">
        <v>1.4730000000000001</v>
      </c>
      <c r="L52" s="6">
        <v>47.057000000000002</v>
      </c>
      <c r="M52" s="5">
        <v>633.99900000000002</v>
      </c>
      <c r="N52" s="6">
        <v>23.835999999999999</v>
      </c>
      <c r="O52" s="7">
        <v>2.8450000000000002</v>
      </c>
      <c r="P52" s="7">
        <v>1.321</v>
      </c>
      <c r="Q52" s="6">
        <v>28.213999999999999</v>
      </c>
      <c r="R52" s="5">
        <v>103.9</v>
      </c>
      <c r="S52" s="5">
        <v>149.77199999999999</v>
      </c>
      <c r="T52" s="5">
        <v>80.623999999999995</v>
      </c>
      <c r="U52" s="5">
        <v>69.147999999999996</v>
      </c>
      <c r="V52" s="6">
        <v>5.6310000000000002</v>
      </c>
      <c r="W52" s="6">
        <v>69.820999999999998</v>
      </c>
      <c r="X52" s="6">
        <v>14.044</v>
      </c>
      <c r="Y52" s="5">
        <v>12038.6585</v>
      </c>
      <c r="Z52" s="5">
        <v>13414.0435</v>
      </c>
      <c r="AA52" s="5">
        <v>1145.6289999999999</v>
      </c>
      <c r="AB52">
        <f t="shared" si="0"/>
        <v>98.28719803987515</v>
      </c>
      <c r="AC52">
        <f t="shared" si="1"/>
        <v>89.746678546256391</v>
      </c>
      <c r="AD52">
        <f t="shared" si="2"/>
        <v>8.5405194936187581</v>
      </c>
      <c r="AE52">
        <f t="shared" si="3"/>
        <v>9.5162513331531091</v>
      </c>
    </row>
    <row r="53" spans="1:31" ht="12" x14ac:dyDescent="0.2">
      <c r="A53" s="1">
        <v>2001</v>
      </c>
      <c r="B53" s="5">
        <v>26964.600999999999</v>
      </c>
      <c r="C53" s="5">
        <v>13499</v>
      </c>
      <c r="D53" s="5">
        <v>13465.601000000001</v>
      </c>
      <c r="E53" s="6">
        <v>21.065000000000001</v>
      </c>
      <c r="F53" s="6">
        <v>100.248</v>
      </c>
      <c r="G53" s="6">
        <v>21.738</v>
      </c>
      <c r="H53" s="5">
        <v>470.14699999999999</v>
      </c>
      <c r="I53" s="6">
        <v>17.436</v>
      </c>
      <c r="J53" s="5">
        <v>340.66500000000002</v>
      </c>
      <c r="K53" s="7">
        <v>1.2629999999999999</v>
      </c>
      <c r="L53" s="6">
        <v>54.881</v>
      </c>
      <c r="M53" s="5">
        <v>620.93899999999996</v>
      </c>
      <c r="N53" s="6">
        <v>23.027999999999999</v>
      </c>
      <c r="O53" s="7">
        <v>2.7440000000000002</v>
      </c>
      <c r="P53" s="7">
        <v>1.278</v>
      </c>
      <c r="Q53" s="6">
        <v>28.231999999999999</v>
      </c>
      <c r="R53" s="5">
        <v>103.9</v>
      </c>
      <c r="S53" s="5">
        <v>150.792</v>
      </c>
      <c r="T53" s="5">
        <v>81.525999999999996</v>
      </c>
      <c r="U53" s="5">
        <v>69.266000000000005</v>
      </c>
      <c r="V53" s="6">
        <v>5.5919999999999996</v>
      </c>
      <c r="W53" s="6">
        <v>70.314999999999998</v>
      </c>
      <c r="X53" s="6">
        <v>14.401999999999999</v>
      </c>
      <c r="Y53" s="5">
        <v>12034.339</v>
      </c>
      <c r="Z53" s="5">
        <v>13710.451999999999</v>
      </c>
      <c r="AA53" s="5">
        <v>1219.8095000000001</v>
      </c>
      <c r="AB53">
        <f t="shared" si="0"/>
        <v>96.671856624420542</v>
      </c>
      <c r="AC53">
        <f t="shared" si="1"/>
        <v>87.774925290573933</v>
      </c>
      <c r="AD53">
        <f t="shared" si="2"/>
        <v>8.8969313338466165</v>
      </c>
      <c r="AE53">
        <f t="shared" si="3"/>
        <v>10.136073946396227</v>
      </c>
    </row>
    <row r="54" spans="1:31" ht="12" x14ac:dyDescent="0.2">
      <c r="A54" s="1">
        <v>2002</v>
      </c>
      <c r="B54" s="5">
        <v>27288.217000000001</v>
      </c>
      <c r="C54" s="5">
        <v>13664.192999999999</v>
      </c>
      <c r="D54" s="5">
        <v>13624.023999999999</v>
      </c>
      <c r="E54" s="6">
        <v>21.317</v>
      </c>
      <c r="F54" s="6">
        <v>100.295</v>
      </c>
      <c r="G54" s="6">
        <v>22.1</v>
      </c>
      <c r="H54" s="5">
        <v>463.72500000000002</v>
      </c>
      <c r="I54" s="6">
        <v>16.992999999999999</v>
      </c>
      <c r="J54" s="5">
        <v>306.56900000000002</v>
      </c>
      <c r="K54" s="7">
        <v>1.123</v>
      </c>
      <c r="L54" s="6">
        <v>61.722999999999999</v>
      </c>
      <c r="M54" s="5">
        <v>616.69000000000005</v>
      </c>
      <c r="N54" s="6">
        <v>22.599</v>
      </c>
      <c r="O54" s="7">
        <v>2.6930000000000001</v>
      </c>
      <c r="P54" s="7">
        <v>1.2569999999999999</v>
      </c>
      <c r="Q54" s="6">
        <v>28.263999999999999</v>
      </c>
      <c r="R54" s="5">
        <v>103.8</v>
      </c>
      <c r="S54" s="5">
        <v>152.965</v>
      </c>
      <c r="T54" s="5">
        <v>83.456999999999994</v>
      </c>
      <c r="U54" s="5">
        <v>69.509</v>
      </c>
      <c r="V54" s="6">
        <v>5.6059999999999999</v>
      </c>
      <c r="W54" s="6">
        <v>70.814999999999998</v>
      </c>
      <c r="X54" s="6">
        <v>14.821</v>
      </c>
      <c r="Y54" s="5">
        <v>12000.270500000001</v>
      </c>
      <c r="Z54" s="5">
        <v>13980.865</v>
      </c>
      <c r="AA54" s="5">
        <v>1307.0820000000001</v>
      </c>
      <c r="AB54">
        <f t="shared" si="0"/>
        <v>95.18261209159806</v>
      </c>
      <c r="AC54">
        <f t="shared" si="1"/>
        <v>85.833533905091002</v>
      </c>
      <c r="AD54">
        <f t="shared" si="2"/>
        <v>9.3490781865070591</v>
      </c>
      <c r="AE54">
        <f t="shared" si="3"/>
        <v>10.892104473811653</v>
      </c>
    </row>
    <row r="55" spans="1:31" ht="12" x14ac:dyDescent="0.2">
      <c r="A55" s="1">
        <v>2003</v>
      </c>
      <c r="B55" s="5">
        <v>27580.49</v>
      </c>
      <c r="C55" s="5">
        <v>13813.521000000001</v>
      </c>
      <c r="D55" s="5">
        <v>13766.968999999999</v>
      </c>
      <c r="E55" s="6">
        <v>21.545999999999999</v>
      </c>
      <c r="F55" s="6">
        <v>100.33799999999999</v>
      </c>
      <c r="G55" s="6">
        <v>22.472000000000001</v>
      </c>
      <c r="H55" s="5">
        <v>459.245</v>
      </c>
      <c r="I55" s="6">
        <v>16.651</v>
      </c>
      <c r="J55" s="5">
        <v>277.97699999999998</v>
      </c>
      <c r="K55" s="7">
        <v>1.008</v>
      </c>
      <c r="L55" s="6">
        <v>68.765000000000001</v>
      </c>
      <c r="M55" s="5">
        <v>615.87300000000005</v>
      </c>
      <c r="N55" s="6">
        <v>22.33</v>
      </c>
      <c r="O55" s="7">
        <v>2.661</v>
      </c>
      <c r="P55" s="7">
        <v>1.246</v>
      </c>
      <c r="Q55" s="6">
        <v>28.248999999999999</v>
      </c>
      <c r="R55" s="5">
        <v>103.8</v>
      </c>
      <c r="S55" s="5">
        <v>156.62799999999999</v>
      </c>
      <c r="T55" s="5">
        <v>86.125</v>
      </c>
      <c r="U55" s="5">
        <v>70.503</v>
      </c>
      <c r="V55" s="6">
        <v>5.6790000000000003</v>
      </c>
      <c r="W55" s="6">
        <v>71.278000000000006</v>
      </c>
      <c r="X55" s="6">
        <v>15.109</v>
      </c>
      <c r="Y55" s="5">
        <v>11945.825500000001</v>
      </c>
      <c r="Z55" s="5">
        <v>14230.9985</v>
      </c>
      <c r="AA55" s="5">
        <v>1403.6665</v>
      </c>
      <c r="AB55">
        <f t="shared" si="0"/>
        <v>93.80572979471539</v>
      </c>
      <c r="AC55">
        <f t="shared" si="1"/>
        <v>83.942286270355524</v>
      </c>
      <c r="AD55">
        <f t="shared" si="2"/>
        <v>9.8634435243598695</v>
      </c>
      <c r="AE55">
        <f t="shared" si="3"/>
        <v>11.750267907395767</v>
      </c>
    </row>
    <row r="56" spans="1:31" ht="12" x14ac:dyDescent="0.2">
      <c r="A56" s="1">
        <v>2004</v>
      </c>
      <c r="B56" s="5">
        <v>27852.19</v>
      </c>
      <c r="C56" s="5">
        <v>13951.981</v>
      </c>
      <c r="D56" s="5">
        <v>13900.209000000001</v>
      </c>
      <c r="E56" s="6">
        <v>21.757999999999999</v>
      </c>
      <c r="F56" s="6">
        <v>100.372</v>
      </c>
      <c r="G56" s="6">
        <v>22.841999999999999</v>
      </c>
      <c r="H56" s="5">
        <v>459.60599999999999</v>
      </c>
      <c r="I56" s="6">
        <v>16.501999999999999</v>
      </c>
      <c r="J56" s="5">
        <v>265.42200000000003</v>
      </c>
      <c r="K56" s="7">
        <v>0.95299999999999996</v>
      </c>
      <c r="L56" s="6">
        <v>72.733000000000004</v>
      </c>
      <c r="M56" s="5">
        <v>623.654</v>
      </c>
      <c r="N56" s="6">
        <v>22.391999999999999</v>
      </c>
      <c r="O56" s="7">
        <v>2.673</v>
      </c>
      <c r="P56" s="7">
        <v>1.254</v>
      </c>
      <c r="Q56" s="6">
        <v>28.248000000000001</v>
      </c>
      <c r="R56" s="5">
        <v>103.8</v>
      </c>
      <c r="S56" s="5">
        <v>164.048</v>
      </c>
      <c r="T56" s="5">
        <v>91.152000000000001</v>
      </c>
      <c r="U56" s="5">
        <v>72.897000000000006</v>
      </c>
      <c r="V56" s="6">
        <v>5.89</v>
      </c>
      <c r="W56" s="6">
        <v>71.447000000000003</v>
      </c>
      <c r="X56" s="6">
        <v>15.337</v>
      </c>
      <c r="Y56" s="5">
        <v>11881.455</v>
      </c>
      <c r="Z56" s="5">
        <v>14466.086499999999</v>
      </c>
      <c r="AA56" s="5">
        <v>1504.6485</v>
      </c>
      <c r="AB56">
        <f t="shared" si="0"/>
        <v>92.534380324630291</v>
      </c>
      <c r="AC56">
        <f t="shared" si="1"/>
        <v>82.13316711468579</v>
      </c>
      <c r="AD56">
        <f t="shared" si="2"/>
        <v>10.401213209944514</v>
      </c>
      <c r="AE56">
        <f t="shared" si="3"/>
        <v>12.663840413484712</v>
      </c>
    </row>
    <row r="57" spans="1:31" ht="12" x14ac:dyDescent="0.2">
      <c r="A57" s="1">
        <v>2005</v>
      </c>
      <c r="B57" s="5">
        <v>28101.18</v>
      </c>
      <c r="C57" s="5">
        <v>14078.967000000001</v>
      </c>
      <c r="D57" s="5">
        <v>14022.214</v>
      </c>
      <c r="E57" s="6">
        <v>21.952999999999999</v>
      </c>
      <c r="F57" s="6">
        <v>100.405</v>
      </c>
      <c r="G57" s="6">
        <v>23.213000000000001</v>
      </c>
      <c r="H57" s="5">
        <v>454.20699999999999</v>
      </c>
      <c r="I57" s="6">
        <v>16.163</v>
      </c>
      <c r="J57" s="5">
        <v>232.559</v>
      </c>
      <c r="K57" s="7">
        <v>0.82799999999999996</v>
      </c>
      <c r="L57" s="6">
        <v>83.712999999999994</v>
      </c>
      <c r="M57" s="5">
        <v>620.73900000000003</v>
      </c>
      <c r="N57" s="6">
        <v>22.088999999999999</v>
      </c>
      <c r="O57" s="7">
        <v>2.6429999999999998</v>
      </c>
      <c r="P57" s="7">
        <v>1.242</v>
      </c>
      <c r="Q57" s="6">
        <v>28.253</v>
      </c>
      <c r="R57" s="5">
        <v>103.8</v>
      </c>
      <c r="S57" s="5">
        <v>166.53200000000001</v>
      </c>
      <c r="T57" s="5">
        <v>92.492000000000004</v>
      </c>
      <c r="U57" s="5">
        <v>74.040000000000006</v>
      </c>
      <c r="V57" s="6">
        <v>5.9260000000000002</v>
      </c>
      <c r="W57" s="6">
        <v>71.988</v>
      </c>
      <c r="X57" s="6">
        <v>15.8</v>
      </c>
      <c r="Y57" s="5">
        <v>11805.832</v>
      </c>
      <c r="Z57" s="5">
        <v>14684.061</v>
      </c>
      <c r="AA57" s="5">
        <v>1611.2874999999999</v>
      </c>
      <c r="AB57">
        <f t="shared" si="0"/>
        <v>91.371995117699399</v>
      </c>
      <c r="AC57">
        <f t="shared" si="1"/>
        <v>80.398957754261573</v>
      </c>
      <c r="AD57">
        <f t="shared" si="2"/>
        <v>10.973037363437811</v>
      </c>
      <c r="AE57">
        <f t="shared" si="3"/>
        <v>13.6482333477217</v>
      </c>
    </row>
    <row r="58" spans="1:31" ht="12" x14ac:dyDescent="0.2">
      <c r="A58" s="1">
        <v>2006</v>
      </c>
      <c r="B58" s="5">
        <v>28324.491000000002</v>
      </c>
      <c r="C58" s="5">
        <v>14193.487999999999</v>
      </c>
      <c r="D58" s="5">
        <v>14131.003000000001</v>
      </c>
      <c r="E58" s="6">
        <v>22.126999999999999</v>
      </c>
      <c r="F58" s="6">
        <v>100.44199999999999</v>
      </c>
      <c r="G58" s="6">
        <v>23.594000000000001</v>
      </c>
      <c r="H58" s="5">
        <v>445.90899999999999</v>
      </c>
      <c r="I58" s="6">
        <v>15.742000000000001</v>
      </c>
      <c r="J58" s="5">
        <v>214.06200000000001</v>
      </c>
      <c r="K58" s="7">
        <v>0.75600000000000001</v>
      </c>
      <c r="L58" s="6">
        <v>91.686000000000007</v>
      </c>
      <c r="M58" s="5">
        <v>618.08100000000002</v>
      </c>
      <c r="N58" s="6">
        <v>21.821000000000002</v>
      </c>
      <c r="O58" s="7">
        <v>2.6190000000000002</v>
      </c>
      <c r="P58" s="7">
        <v>1.232</v>
      </c>
      <c r="Q58" s="6">
        <v>28.222000000000001</v>
      </c>
      <c r="R58" s="5">
        <v>103.8</v>
      </c>
      <c r="S58" s="5">
        <v>172.172</v>
      </c>
      <c r="T58" s="5">
        <v>95.602999999999994</v>
      </c>
      <c r="U58" s="5">
        <v>76.569000000000003</v>
      </c>
      <c r="V58" s="6">
        <v>6.0789999999999997</v>
      </c>
      <c r="W58" s="6">
        <v>72.337000000000003</v>
      </c>
      <c r="X58" s="6">
        <v>16.084</v>
      </c>
      <c r="Y58" s="5">
        <v>11715.638000000001</v>
      </c>
      <c r="Z58" s="5">
        <v>14884.942999999999</v>
      </c>
      <c r="AA58" s="5">
        <v>1723.91</v>
      </c>
      <c r="AB58">
        <f t="shared" si="0"/>
        <v>90.289549647586824</v>
      </c>
      <c r="AC58">
        <f t="shared" si="1"/>
        <v>78.70798027241355</v>
      </c>
      <c r="AD58">
        <f t="shared" si="2"/>
        <v>11.581569375173288</v>
      </c>
      <c r="AE58">
        <f t="shared" si="3"/>
        <v>14.71460623826035</v>
      </c>
    </row>
    <row r="59" spans="1:31" ht="12" x14ac:dyDescent="0.2">
      <c r="A59" s="1">
        <v>2007</v>
      </c>
      <c r="B59" s="5">
        <v>28530.699000000001</v>
      </c>
      <c r="C59" s="5">
        <v>14299.799000000001</v>
      </c>
      <c r="D59" s="5">
        <v>14230.898999999999</v>
      </c>
      <c r="E59" s="6">
        <v>22.288</v>
      </c>
      <c r="F59" s="6">
        <v>100.48399999999999</v>
      </c>
      <c r="G59" s="6">
        <v>23.978000000000002</v>
      </c>
      <c r="H59" s="5">
        <v>435.10199999999998</v>
      </c>
      <c r="I59" s="6">
        <v>15.250999999999999</v>
      </c>
      <c r="J59" s="5">
        <v>198.35400000000001</v>
      </c>
      <c r="K59" s="7">
        <v>0.69499999999999995</v>
      </c>
      <c r="L59" s="6">
        <v>99.733000000000004</v>
      </c>
      <c r="M59" s="5">
        <v>611.85699999999997</v>
      </c>
      <c r="N59" s="6">
        <v>21.446000000000002</v>
      </c>
      <c r="O59" s="7">
        <v>2.5830000000000002</v>
      </c>
      <c r="P59" s="7">
        <v>1.2170000000000001</v>
      </c>
      <c r="Q59" s="6">
        <v>28.2</v>
      </c>
      <c r="R59" s="5">
        <v>103.9</v>
      </c>
      <c r="S59" s="5">
        <v>176.755</v>
      </c>
      <c r="T59" s="5">
        <v>97.451999999999998</v>
      </c>
      <c r="U59" s="5">
        <v>79.302999999999997</v>
      </c>
      <c r="V59" s="6">
        <v>6.1950000000000003</v>
      </c>
      <c r="W59" s="6">
        <v>72.745999999999995</v>
      </c>
      <c r="X59" s="6">
        <v>16.364000000000001</v>
      </c>
      <c r="Y59" s="5">
        <v>11617.302</v>
      </c>
      <c r="Z59" s="5">
        <v>15075.218500000001</v>
      </c>
      <c r="AA59" s="5">
        <v>1838.1785</v>
      </c>
      <c r="AB59">
        <f t="shared" si="0"/>
        <v>89.25562505113939</v>
      </c>
      <c r="AC59">
        <f t="shared" si="1"/>
        <v>77.062246228802579</v>
      </c>
      <c r="AD59">
        <f t="shared" si="2"/>
        <v>12.193378822336804</v>
      </c>
      <c r="AE59">
        <f t="shared" si="3"/>
        <v>15.822765905543301</v>
      </c>
    </row>
    <row r="60" spans="1:31" ht="12" x14ac:dyDescent="0.2">
      <c r="A60" s="1">
        <v>2008</v>
      </c>
      <c r="B60" s="5">
        <v>28719.041000000001</v>
      </c>
      <c r="C60" s="5">
        <v>14389.325999999999</v>
      </c>
      <c r="D60" s="5">
        <v>14329.716</v>
      </c>
      <c r="E60" s="6">
        <v>22.434999999999999</v>
      </c>
      <c r="F60" s="6">
        <v>100.416</v>
      </c>
      <c r="G60" s="6">
        <v>24.384</v>
      </c>
      <c r="H60" s="5">
        <v>413.63600000000002</v>
      </c>
      <c r="I60" s="6">
        <v>14.403</v>
      </c>
      <c r="J60" s="5">
        <v>178.33</v>
      </c>
      <c r="K60" s="7">
        <v>0.621</v>
      </c>
      <c r="L60" s="6">
        <v>111.61799999999999</v>
      </c>
      <c r="M60" s="5">
        <v>600.45299999999997</v>
      </c>
      <c r="N60" s="6">
        <v>20.908000000000001</v>
      </c>
      <c r="O60" s="7">
        <v>2.528</v>
      </c>
      <c r="P60" s="7">
        <v>1.1930000000000001</v>
      </c>
      <c r="Q60" s="6">
        <v>28.164000000000001</v>
      </c>
      <c r="R60" s="5">
        <v>103.9</v>
      </c>
      <c r="S60" s="5">
        <v>186.81700000000001</v>
      </c>
      <c r="T60" s="5">
        <v>103.834</v>
      </c>
      <c r="U60" s="5">
        <v>82.983000000000004</v>
      </c>
      <c r="V60" s="6">
        <v>6.5049999999999999</v>
      </c>
      <c r="W60" s="6">
        <v>72.742999999999995</v>
      </c>
      <c r="X60" s="6">
        <v>16.337</v>
      </c>
      <c r="Y60" s="5">
        <v>11504.547</v>
      </c>
      <c r="Z60" s="5">
        <v>15278.941999999999</v>
      </c>
      <c r="AA60" s="5">
        <v>1935.5519999999999</v>
      </c>
      <c r="AB60">
        <f t="shared" si="0"/>
        <v>87.964853849173593</v>
      </c>
      <c r="AC60">
        <f t="shared" si="1"/>
        <v>75.296751568269599</v>
      </c>
      <c r="AD60">
        <f t="shared" si="2"/>
        <v>12.668102280904007</v>
      </c>
      <c r="AE60">
        <f t="shared" si="3"/>
        <v>16.824234800379362</v>
      </c>
    </row>
    <row r="61" spans="1:31" ht="12" x14ac:dyDescent="0.2">
      <c r="A61" s="1">
        <v>2009</v>
      </c>
      <c r="B61" s="5">
        <v>28896.811000000002</v>
      </c>
      <c r="C61" s="5">
        <v>14465.592000000001</v>
      </c>
      <c r="D61" s="5">
        <v>14431.218999999999</v>
      </c>
      <c r="E61" s="6">
        <v>22.574000000000002</v>
      </c>
      <c r="F61" s="6">
        <v>100.238</v>
      </c>
      <c r="G61" s="6">
        <v>24.805</v>
      </c>
      <c r="H61" s="5">
        <v>396.51900000000001</v>
      </c>
      <c r="I61" s="6">
        <v>13.722</v>
      </c>
      <c r="J61" s="5">
        <v>177.21</v>
      </c>
      <c r="K61" s="7">
        <v>0.61299999999999999</v>
      </c>
      <c r="L61" s="6">
        <v>113.075</v>
      </c>
      <c r="M61" s="5">
        <v>590.77</v>
      </c>
      <c r="N61" s="6">
        <v>20.443999999999999</v>
      </c>
      <c r="O61" s="7">
        <v>2.48</v>
      </c>
      <c r="P61" s="7">
        <v>1.171</v>
      </c>
      <c r="Q61" s="6">
        <v>28.193999999999999</v>
      </c>
      <c r="R61" s="5">
        <v>104</v>
      </c>
      <c r="S61" s="5">
        <v>194.251</v>
      </c>
      <c r="T61" s="5">
        <v>107.708</v>
      </c>
      <c r="U61" s="5">
        <v>86.543999999999997</v>
      </c>
      <c r="V61" s="6">
        <v>6.7220000000000004</v>
      </c>
      <c r="W61" s="6">
        <v>72.631</v>
      </c>
      <c r="X61" s="6">
        <v>16.364000000000001</v>
      </c>
      <c r="Y61" s="5">
        <v>11384.343500000001</v>
      </c>
      <c r="Z61" s="5">
        <v>15497.842500000001</v>
      </c>
      <c r="AA61" s="5">
        <v>2014.625</v>
      </c>
      <c r="AB61">
        <f t="shared" si="0"/>
        <v>86.456992320060039</v>
      </c>
      <c r="AC61">
        <f t="shared" si="1"/>
        <v>73.457602243667139</v>
      </c>
      <c r="AD61">
        <f t="shared" si="2"/>
        <v>12.999390076392892</v>
      </c>
      <c r="AE61">
        <f t="shared" si="3"/>
        <v>17.696453027792071</v>
      </c>
    </row>
    <row r="62" spans="1:31" ht="12" x14ac:dyDescent="0.2">
      <c r="A62" s="1">
        <v>2010</v>
      </c>
      <c r="B62" s="5">
        <v>29086.019</v>
      </c>
      <c r="C62" s="5">
        <v>14548.315000000001</v>
      </c>
      <c r="D62" s="5">
        <v>14537.705</v>
      </c>
      <c r="E62" s="6">
        <v>22.722000000000001</v>
      </c>
      <c r="F62" s="6">
        <v>100.07299999999999</v>
      </c>
      <c r="G62" s="6">
        <v>25.216000000000001</v>
      </c>
      <c r="H62" s="5">
        <v>382.51499999999999</v>
      </c>
      <c r="I62" s="6">
        <v>13.151</v>
      </c>
      <c r="J62" s="5">
        <v>201.20699999999999</v>
      </c>
      <c r="K62" s="7">
        <v>0.69199999999999995</v>
      </c>
      <c r="L62" s="6">
        <v>100.166</v>
      </c>
      <c r="M62" s="5">
        <v>578.36</v>
      </c>
      <c r="N62" s="6">
        <v>19.884</v>
      </c>
      <c r="O62" s="7">
        <v>2.4209999999999998</v>
      </c>
      <c r="P62" s="7">
        <v>1.1439999999999999</v>
      </c>
      <c r="Q62" s="6">
        <v>28.222000000000001</v>
      </c>
      <c r="R62" s="5">
        <v>104</v>
      </c>
      <c r="S62" s="5">
        <v>195.845</v>
      </c>
      <c r="T62" s="5">
        <v>108.621</v>
      </c>
      <c r="U62" s="5">
        <v>87.224000000000004</v>
      </c>
      <c r="V62" s="6">
        <v>6.7329999999999997</v>
      </c>
      <c r="W62" s="6">
        <v>72.885999999999996</v>
      </c>
      <c r="X62" s="6">
        <v>16.606999999999999</v>
      </c>
      <c r="Y62" s="5">
        <v>11275.947</v>
      </c>
      <c r="Z62" s="5">
        <v>15717.597</v>
      </c>
      <c r="AA62" s="5">
        <v>2092.4755</v>
      </c>
      <c r="AB62">
        <f t="shared" si="0"/>
        <v>85.053857151319008</v>
      </c>
      <c r="AC62">
        <f t="shared" si="1"/>
        <v>71.740909249677287</v>
      </c>
      <c r="AD62">
        <f t="shared" si="2"/>
        <v>13.312947901641708</v>
      </c>
      <c r="AE62">
        <f t="shared" si="3"/>
        <v>18.556982398019432</v>
      </c>
    </row>
    <row r="63" spans="1:31" ht="12" x14ac:dyDescent="0.2">
      <c r="A63" s="1">
        <v>2011</v>
      </c>
      <c r="B63" s="5">
        <v>29304.085999999999</v>
      </c>
      <c r="C63" s="5">
        <v>14646.96</v>
      </c>
      <c r="D63" s="5">
        <v>14657.125</v>
      </c>
      <c r="E63" s="6">
        <v>22.891999999999999</v>
      </c>
      <c r="F63" s="6">
        <v>99.930999999999997</v>
      </c>
      <c r="G63" s="6">
        <v>25.61</v>
      </c>
      <c r="H63" s="5">
        <v>383.25799999999998</v>
      </c>
      <c r="I63" s="6">
        <v>13.079000000000001</v>
      </c>
      <c r="J63" s="5">
        <v>234.92500000000001</v>
      </c>
      <c r="K63" s="7">
        <v>0.80200000000000005</v>
      </c>
      <c r="L63" s="6">
        <v>86.427000000000007</v>
      </c>
      <c r="M63" s="5">
        <v>578.74599999999998</v>
      </c>
      <c r="N63" s="6">
        <v>19.75</v>
      </c>
      <c r="O63" s="7">
        <v>2.4129999999999998</v>
      </c>
      <c r="P63" s="7">
        <v>1.1419999999999999</v>
      </c>
      <c r="Q63" s="6">
        <v>28.245999999999999</v>
      </c>
      <c r="R63" s="5">
        <v>104</v>
      </c>
      <c r="S63" s="5">
        <v>195.488</v>
      </c>
      <c r="T63" s="5">
        <v>107.703</v>
      </c>
      <c r="U63" s="5">
        <v>87.786000000000001</v>
      </c>
      <c r="V63" s="6">
        <v>6.6710000000000003</v>
      </c>
      <c r="W63" s="6">
        <v>73.326999999999998</v>
      </c>
      <c r="X63" s="6">
        <v>16.878</v>
      </c>
      <c r="Y63" s="5">
        <v>11189.2845</v>
      </c>
      <c r="Z63" s="5">
        <v>15944.769</v>
      </c>
      <c r="AA63" s="5">
        <v>2170.0320000000002</v>
      </c>
      <c r="AB63">
        <f t="shared" si="0"/>
        <v>83.784948530768929</v>
      </c>
      <c r="AC63">
        <f t="shared" si="1"/>
        <v>70.175268766828793</v>
      </c>
      <c r="AD63">
        <f t="shared" si="2"/>
        <v>13.609679763940136</v>
      </c>
      <c r="AE63">
        <f t="shared" si="3"/>
        <v>19.393840598118675</v>
      </c>
    </row>
    <row r="64" spans="1:31" ht="12" x14ac:dyDescent="0.2">
      <c r="A64" s="1">
        <v>2012</v>
      </c>
      <c r="B64" s="5">
        <v>29550.366000000002</v>
      </c>
      <c r="C64" s="5">
        <v>14760.964</v>
      </c>
      <c r="D64" s="5">
        <v>14789.402</v>
      </c>
      <c r="E64" s="6">
        <v>23.085000000000001</v>
      </c>
      <c r="F64" s="6">
        <v>99.808000000000007</v>
      </c>
      <c r="G64" s="6">
        <v>25.99</v>
      </c>
      <c r="H64" s="5">
        <v>376.50299999999999</v>
      </c>
      <c r="I64" s="6">
        <v>12.741</v>
      </c>
      <c r="J64" s="5">
        <v>257.63600000000002</v>
      </c>
      <c r="K64" s="7">
        <v>0.872</v>
      </c>
      <c r="L64" s="6">
        <v>79.489000000000004</v>
      </c>
      <c r="M64" s="5">
        <v>567.66899999999998</v>
      </c>
      <c r="N64" s="6">
        <v>19.21</v>
      </c>
      <c r="O64" s="7">
        <v>2.3559999999999999</v>
      </c>
      <c r="P64" s="7">
        <v>1.117</v>
      </c>
      <c r="Q64" s="6">
        <v>28.274000000000001</v>
      </c>
      <c r="R64" s="5">
        <v>103.9</v>
      </c>
      <c r="S64" s="5">
        <v>191.166</v>
      </c>
      <c r="T64" s="5">
        <v>105.785</v>
      </c>
      <c r="U64" s="5">
        <v>85.381</v>
      </c>
      <c r="V64" s="6">
        <v>6.4690000000000003</v>
      </c>
      <c r="W64" s="6">
        <v>73.978999999999999</v>
      </c>
      <c r="X64" s="6">
        <v>17.334</v>
      </c>
      <c r="Y64" s="5">
        <v>11122.189</v>
      </c>
      <c r="Z64" s="5">
        <v>16178.401</v>
      </c>
      <c r="AA64" s="5">
        <v>2249.7759999999998</v>
      </c>
      <c r="AB64">
        <f t="shared" si="0"/>
        <v>82.653192982421444</v>
      </c>
      <c r="AC64">
        <f t="shared" si="1"/>
        <v>68.747146272366479</v>
      </c>
      <c r="AD64">
        <f t="shared" si="2"/>
        <v>13.906046710054968</v>
      </c>
      <c r="AE64">
        <f t="shared" si="3"/>
        <v>20.227816664507316</v>
      </c>
    </row>
    <row r="65" spans="1:31" ht="12" x14ac:dyDescent="0.2">
      <c r="A65" s="1">
        <v>2013</v>
      </c>
      <c r="B65" s="5">
        <v>29817.919000000002</v>
      </c>
      <c r="C65" s="5">
        <v>14886.264999999999</v>
      </c>
      <c r="D65" s="5">
        <v>14931.654</v>
      </c>
      <c r="E65" s="6">
        <v>23.294</v>
      </c>
      <c r="F65" s="6">
        <v>99.695999999999998</v>
      </c>
      <c r="G65" s="6">
        <v>26.364000000000001</v>
      </c>
      <c r="H65" s="5">
        <v>372.685</v>
      </c>
      <c r="I65" s="6">
        <v>12.499000000000001</v>
      </c>
      <c r="J65" s="5">
        <v>277.47000000000003</v>
      </c>
      <c r="K65" s="7">
        <v>0.93100000000000005</v>
      </c>
      <c r="L65" s="6">
        <v>74.451999999999998</v>
      </c>
      <c r="M65" s="5">
        <v>561.16700000000003</v>
      </c>
      <c r="N65" s="6">
        <v>18.82</v>
      </c>
      <c r="O65" s="7">
        <v>2.3170000000000002</v>
      </c>
      <c r="P65" s="7">
        <v>1.1000000000000001</v>
      </c>
      <c r="Q65" s="6">
        <v>28.318999999999999</v>
      </c>
      <c r="R65" s="5">
        <v>104</v>
      </c>
      <c r="S65" s="5">
        <v>188.482</v>
      </c>
      <c r="T65" s="5">
        <v>104.56100000000001</v>
      </c>
      <c r="U65" s="5">
        <v>83.921000000000006</v>
      </c>
      <c r="V65" s="6">
        <v>6.3209999999999997</v>
      </c>
      <c r="W65" s="6">
        <v>74.590999999999994</v>
      </c>
      <c r="X65" s="6">
        <v>17.689</v>
      </c>
      <c r="Y65" s="5">
        <v>11068.196</v>
      </c>
      <c r="Z65" s="5">
        <v>16417.294999999998</v>
      </c>
      <c r="AA65" s="5">
        <v>2332.4279999999999</v>
      </c>
      <c r="AB65">
        <f t="shared" si="0"/>
        <v>81.62504237147472</v>
      </c>
      <c r="AC65">
        <f t="shared" si="1"/>
        <v>67.417902888386919</v>
      </c>
      <c r="AD65">
        <f t="shared" si="2"/>
        <v>14.207139483087804</v>
      </c>
      <c r="AE65">
        <f t="shared" si="3"/>
        <v>21.073244456458848</v>
      </c>
    </row>
    <row r="66" spans="1:31" ht="12" x14ac:dyDescent="0.2">
      <c r="A66" s="1">
        <v>2014</v>
      </c>
      <c r="B66" s="5">
        <v>30115.826000000001</v>
      </c>
      <c r="C66" s="5">
        <v>15028.034</v>
      </c>
      <c r="D66" s="5">
        <v>15087.791999999999</v>
      </c>
      <c r="E66" s="6">
        <v>23.526</v>
      </c>
      <c r="F66" s="6">
        <v>99.603999999999999</v>
      </c>
      <c r="G66" s="6">
        <v>26.724</v>
      </c>
      <c r="H66" s="5">
        <v>368.72199999999998</v>
      </c>
      <c r="I66" s="6">
        <v>12.243</v>
      </c>
      <c r="J66" s="5">
        <v>318.34399999999999</v>
      </c>
      <c r="K66" s="7">
        <v>1.0569999999999999</v>
      </c>
      <c r="L66" s="6">
        <v>65.576999999999998</v>
      </c>
      <c r="M66" s="5">
        <v>553.10900000000004</v>
      </c>
      <c r="N66" s="6">
        <v>18.366</v>
      </c>
      <c r="O66" s="7">
        <v>2.2709999999999999</v>
      </c>
      <c r="P66" s="7">
        <v>1.079</v>
      </c>
      <c r="Q66" s="6">
        <v>28.375</v>
      </c>
      <c r="R66" s="5">
        <v>104</v>
      </c>
      <c r="S66" s="5">
        <v>184.387</v>
      </c>
      <c r="T66" s="5">
        <v>102.108</v>
      </c>
      <c r="U66" s="5">
        <v>82.28</v>
      </c>
      <c r="V66" s="6">
        <v>6.1230000000000002</v>
      </c>
      <c r="W66" s="6">
        <v>75.260000000000005</v>
      </c>
      <c r="X66" s="6">
        <v>18.198</v>
      </c>
      <c r="Y66" s="5">
        <v>11033.281499999999</v>
      </c>
      <c r="Z66" s="5">
        <v>16666.6505</v>
      </c>
      <c r="AA66" s="5">
        <v>2415.8939999999998</v>
      </c>
      <c r="AB66">
        <f t="shared" si="0"/>
        <v>80.69513127427733</v>
      </c>
      <c r="AC66">
        <f t="shared" si="1"/>
        <v>66.199753213760616</v>
      </c>
      <c r="AD66">
        <f t="shared" si="2"/>
        <v>14.495378060516718</v>
      </c>
      <c r="AE66">
        <f t="shared" si="3"/>
        <v>21.896423108573817</v>
      </c>
    </row>
    <row r="67" spans="1:31" ht="12" x14ac:dyDescent="0.2">
      <c r="A67" s="1">
        <v>2015</v>
      </c>
      <c r="B67" s="5">
        <v>30457.599999999999</v>
      </c>
      <c r="C67" s="5">
        <v>15193.648999999999</v>
      </c>
      <c r="D67" s="5">
        <v>15263.950999999999</v>
      </c>
      <c r="E67" s="6">
        <v>23.792999999999999</v>
      </c>
      <c r="F67" s="6">
        <v>99.539000000000001</v>
      </c>
      <c r="G67" s="6">
        <v>27.055</v>
      </c>
      <c r="H67" s="5">
        <v>362.79</v>
      </c>
      <c r="I67" s="6">
        <v>11.911</v>
      </c>
      <c r="J67" s="5">
        <v>365.20400000000001</v>
      </c>
      <c r="K67" s="7">
        <v>1.1990000000000001</v>
      </c>
      <c r="L67" s="6">
        <v>57.81</v>
      </c>
      <c r="M67" s="5">
        <v>546.65800000000002</v>
      </c>
      <c r="N67" s="6">
        <v>17.948</v>
      </c>
      <c r="O67" s="7">
        <v>2.2290000000000001</v>
      </c>
      <c r="P67" s="7">
        <v>1.06</v>
      </c>
      <c r="Q67" s="6">
        <v>28.431000000000001</v>
      </c>
      <c r="R67" s="5">
        <v>104</v>
      </c>
      <c r="S67" s="5">
        <v>183.86799999999999</v>
      </c>
      <c r="T67" s="5">
        <v>101.68600000000001</v>
      </c>
      <c r="U67" s="5">
        <v>82.182000000000002</v>
      </c>
      <c r="V67" s="6">
        <v>6.0369999999999999</v>
      </c>
      <c r="W67" s="6">
        <v>75.731999999999999</v>
      </c>
      <c r="X67" s="6">
        <v>18.45</v>
      </c>
      <c r="Y67" s="5">
        <v>11025.731</v>
      </c>
      <c r="Z67" s="5">
        <v>16936.041000000001</v>
      </c>
      <c r="AA67" s="5">
        <v>2495.828</v>
      </c>
      <c r="AB67">
        <f t="shared" ref="AB67:AB75" si="4">(Y67+AA67)/Z67*100</f>
        <v>79.838960002517695</v>
      </c>
      <c r="AC67">
        <f t="shared" ref="AC67:AC75" si="5">Y67/Z67*100</f>
        <v>65.102174705410775</v>
      </c>
      <c r="AD67">
        <f t="shared" ref="AD67:AD75" si="6">AA67/Z67*100</f>
        <v>14.73678529710692</v>
      </c>
      <c r="AE67">
        <f t="shared" ref="AE67:AE75" si="7">AA67/Y67*100</f>
        <v>22.636394811373506</v>
      </c>
    </row>
    <row r="68" spans="1:31" ht="12" x14ac:dyDescent="0.2">
      <c r="A68" s="1">
        <v>2016</v>
      </c>
      <c r="B68" s="5">
        <v>30866.493999999999</v>
      </c>
      <c r="C68" s="5">
        <v>15395.556</v>
      </c>
      <c r="D68" s="5">
        <v>15470.938</v>
      </c>
      <c r="E68" s="6">
        <v>24.113</v>
      </c>
      <c r="F68" s="6">
        <v>99.513000000000005</v>
      </c>
      <c r="G68" s="6">
        <v>27.332999999999998</v>
      </c>
      <c r="H68" s="5">
        <v>355.839</v>
      </c>
      <c r="I68" s="6">
        <v>11.529</v>
      </c>
      <c r="J68" s="5">
        <v>452.58300000000003</v>
      </c>
      <c r="K68" s="7">
        <v>1.466</v>
      </c>
      <c r="L68" s="6">
        <v>47.281999999999996</v>
      </c>
      <c r="M68" s="5">
        <v>542.16099999999994</v>
      </c>
      <c r="N68" s="6">
        <v>17.565000000000001</v>
      </c>
      <c r="O68" s="7">
        <v>2.1890000000000001</v>
      </c>
      <c r="P68" s="7">
        <v>1.042</v>
      </c>
      <c r="Q68" s="6">
        <v>28.471</v>
      </c>
      <c r="R68" s="5">
        <v>104</v>
      </c>
      <c r="S68" s="5">
        <v>186.322</v>
      </c>
      <c r="T68" s="5">
        <v>102.637</v>
      </c>
      <c r="U68" s="5">
        <v>83.685000000000002</v>
      </c>
      <c r="V68" s="6">
        <v>6.0359999999999996</v>
      </c>
      <c r="W68" s="6">
        <v>75.950999999999993</v>
      </c>
      <c r="X68" s="6">
        <v>18.538</v>
      </c>
      <c r="Y68" s="5">
        <v>11060.0425</v>
      </c>
      <c r="Z68" s="5">
        <v>17243.059000000001</v>
      </c>
      <c r="AA68" s="5">
        <v>2563.3919999999998</v>
      </c>
      <c r="AB68">
        <f t="shared" si="4"/>
        <v>79.0082229609027</v>
      </c>
      <c r="AC68">
        <f t="shared" si="5"/>
        <v>64.141997658304135</v>
      </c>
      <c r="AD68">
        <f t="shared" si="6"/>
        <v>14.866225302598568</v>
      </c>
      <c r="AE68">
        <f t="shared" si="7"/>
        <v>23.17705379522728</v>
      </c>
    </row>
    <row r="69" spans="1:31" ht="12" x14ac:dyDescent="0.2">
      <c r="A69" s="1">
        <v>2017</v>
      </c>
      <c r="B69" s="5">
        <v>31324.636999999999</v>
      </c>
      <c r="C69" s="5">
        <v>15621.907999999999</v>
      </c>
      <c r="D69" s="5">
        <v>15702.727999999999</v>
      </c>
      <c r="E69" s="6">
        <v>24.471</v>
      </c>
      <c r="F69" s="6">
        <v>99.484999999999999</v>
      </c>
      <c r="G69" s="6">
        <v>27.611999999999998</v>
      </c>
      <c r="H69" s="5">
        <v>349.322</v>
      </c>
      <c r="I69" s="6">
        <v>11.151999999999999</v>
      </c>
      <c r="J69" s="5">
        <v>463.70299999999997</v>
      </c>
      <c r="K69" s="7">
        <v>1.48</v>
      </c>
      <c r="L69" s="6">
        <v>46.834000000000003</v>
      </c>
      <c r="M69" s="5">
        <v>540.47</v>
      </c>
      <c r="N69" s="6">
        <v>17.254000000000001</v>
      </c>
      <c r="O69" s="7">
        <v>2.1520000000000001</v>
      </c>
      <c r="P69" s="7">
        <v>1.024</v>
      </c>
      <c r="Q69" s="6">
        <v>28.571999999999999</v>
      </c>
      <c r="R69" s="5">
        <v>104</v>
      </c>
      <c r="S69" s="5">
        <v>191.148</v>
      </c>
      <c r="T69" s="5">
        <v>105.491</v>
      </c>
      <c r="U69" s="5">
        <v>85.656000000000006</v>
      </c>
      <c r="V69" s="6">
        <v>6.1020000000000003</v>
      </c>
      <c r="W69" s="6">
        <v>75.957999999999998</v>
      </c>
      <c r="X69" s="6">
        <v>18.422999999999998</v>
      </c>
      <c r="Y69" s="5">
        <v>11101.497499999999</v>
      </c>
      <c r="Z69" s="5">
        <v>17590.687000000002</v>
      </c>
      <c r="AA69" s="5">
        <v>2632.4520000000002</v>
      </c>
      <c r="AB69">
        <f t="shared" si="4"/>
        <v>78.075117248121103</v>
      </c>
      <c r="AC69">
        <f t="shared" si="5"/>
        <v>63.11008489890132</v>
      </c>
      <c r="AD69">
        <f t="shared" si="6"/>
        <v>14.96503234921979</v>
      </c>
      <c r="AE69">
        <f t="shared" si="7"/>
        <v>23.712584721115331</v>
      </c>
    </row>
    <row r="70" spans="1:31" ht="12" x14ac:dyDescent="0.2">
      <c r="A70" s="1">
        <v>2018</v>
      </c>
      <c r="B70" s="5">
        <v>31897.583999999999</v>
      </c>
      <c r="C70" s="5">
        <v>15903.762000000001</v>
      </c>
      <c r="D70" s="5">
        <v>15993.822</v>
      </c>
      <c r="E70" s="6">
        <v>24.917999999999999</v>
      </c>
      <c r="F70" s="6">
        <v>99.436999999999998</v>
      </c>
      <c r="G70" s="6">
        <v>27.914000000000001</v>
      </c>
      <c r="H70" s="5">
        <v>343.12</v>
      </c>
      <c r="I70" s="6">
        <v>10.757</v>
      </c>
      <c r="J70" s="5">
        <v>682.19100000000003</v>
      </c>
      <c r="K70" s="7">
        <v>2.1389999999999998</v>
      </c>
      <c r="L70" s="6">
        <v>32.405000000000001</v>
      </c>
      <c r="M70" s="5">
        <v>540.02</v>
      </c>
      <c r="N70" s="6">
        <v>16.93</v>
      </c>
      <c r="O70" s="7">
        <v>2.1179999999999999</v>
      </c>
      <c r="P70" s="7">
        <v>1.0069999999999999</v>
      </c>
      <c r="Q70" s="6">
        <v>28.620999999999999</v>
      </c>
      <c r="R70" s="5">
        <v>104.1</v>
      </c>
      <c r="S70" s="5">
        <v>196.9</v>
      </c>
      <c r="T70" s="5">
        <v>108.129</v>
      </c>
      <c r="U70" s="5">
        <v>88.771000000000001</v>
      </c>
      <c r="V70" s="6">
        <v>6.173</v>
      </c>
      <c r="W70" s="6">
        <v>76.018000000000001</v>
      </c>
      <c r="X70" s="6">
        <v>18.372</v>
      </c>
      <c r="Y70" s="5">
        <v>11145.401</v>
      </c>
      <c r="Z70" s="5">
        <v>18039.627499999999</v>
      </c>
      <c r="AA70" s="5">
        <v>2712.5549999999998</v>
      </c>
      <c r="AB70">
        <f t="shared" si="4"/>
        <v>76.819524128200541</v>
      </c>
      <c r="AC70">
        <f t="shared" si="5"/>
        <v>61.782877722946338</v>
      </c>
      <c r="AD70">
        <f t="shared" si="6"/>
        <v>15.036646405254212</v>
      </c>
      <c r="AE70">
        <f t="shared" si="7"/>
        <v>24.337886093106924</v>
      </c>
    </row>
    <row r="71" spans="1:31" ht="12" x14ac:dyDescent="0.2">
      <c r="A71" s="1">
        <v>2019</v>
      </c>
      <c r="B71" s="5">
        <v>32449.303</v>
      </c>
      <c r="C71" s="5">
        <v>16174.852999999999</v>
      </c>
      <c r="D71" s="5">
        <v>16274.450999999999</v>
      </c>
      <c r="E71" s="6">
        <v>25.349</v>
      </c>
      <c r="F71" s="6">
        <v>99.388000000000005</v>
      </c>
      <c r="G71" s="6">
        <v>28.221</v>
      </c>
      <c r="H71" s="5">
        <v>346.97500000000002</v>
      </c>
      <c r="I71" s="6">
        <v>10.693</v>
      </c>
      <c r="J71" s="5">
        <v>421.24799999999999</v>
      </c>
      <c r="K71" s="7">
        <v>1.298</v>
      </c>
      <c r="L71" s="6">
        <v>53.401000000000003</v>
      </c>
      <c r="M71" s="5">
        <v>546.86599999999999</v>
      </c>
      <c r="N71" s="6">
        <v>16.853000000000002</v>
      </c>
      <c r="O71" s="7">
        <v>2.0859999999999999</v>
      </c>
      <c r="P71" s="7">
        <v>0.99399999999999999</v>
      </c>
      <c r="Q71" s="6">
        <v>28.678999999999998</v>
      </c>
      <c r="R71" s="5">
        <v>104.1</v>
      </c>
      <c r="S71" s="5">
        <v>199.89099999999999</v>
      </c>
      <c r="T71" s="5">
        <v>110.301</v>
      </c>
      <c r="U71" s="5">
        <v>89.590999999999994</v>
      </c>
      <c r="V71" s="6">
        <v>6.16</v>
      </c>
      <c r="W71" s="6">
        <v>76.275000000000006</v>
      </c>
      <c r="X71" s="6">
        <v>18.282</v>
      </c>
      <c r="Y71" s="5">
        <v>11179.085499999999</v>
      </c>
      <c r="Z71" s="5">
        <v>18477.3145</v>
      </c>
      <c r="AA71" s="5">
        <v>2792.9029999999998</v>
      </c>
      <c r="AB71">
        <f t="shared" si="4"/>
        <v>75.616986981522658</v>
      </c>
      <c r="AC71">
        <f t="shared" si="5"/>
        <v>60.501678964223935</v>
      </c>
      <c r="AD71">
        <f t="shared" si="6"/>
        <v>15.115308017298727</v>
      </c>
      <c r="AE71">
        <f t="shared" si="7"/>
        <v>24.983286870826777</v>
      </c>
    </row>
    <row r="72" spans="1:31" ht="12" x14ac:dyDescent="0.2">
      <c r="A72" s="1">
        <v>2020</v>
      </c>
      <c r="B72" s="5">
        <v>32838.578999999998</v>
      </c>
      <c r="C72" s="5">
        <v>16356.574000000001</v>
      </c>
      <c r="D72" s="5">
        <v>16482.005000000001</v>
      </c>
      <c r="E72" s="6">
        <v>25.652999999999999</v>
      </c>
      <c r="F72" s="6">
        <v>99.239000000000004</v>
      </c>
      <c r="G72" s="6">
        <v>28.532</v>
      </c>
      <c r="H72" s="5">
        <v>301.93299999999999</v>
      </c>
      <c r="I72" s="6">
        <v>9.1950000000000003</v>
      </c>
      <c r="J72" s="5">
        <v>357.30500000000001</v>
      </c>
      <c r="K72" s="7">
        <v>1.0880000000000001</v>
      </c>
      <c r="L72" s="6">
        <v>63.707999999999998</v>
      </c>
      <c r="M72" s="5">
        <v>545.44299999999998</v>
      </c>
      <c r="N72" s="6">
        <v>16.61</v>
      </c>
      <c r="O72" s="7">
        <v>2.056</v>
      </c>
      <c r="P72" s="7">
        <v>0.98199999999999998</v>
      </c>
      <c r="Q72" s="6">
        <v>28.736999999999998</v>
      </c>
      <c r="R72" s="5">
        <v>104.1</v>
      </c>
      <c r="S72" s="5">
        <v>243.51</v>
      </c>
      <c r="T72" s="5">
        <v>148.06100000000001</v>
      </c>
      <c r="U72" s="5">
        <v>95.448999999999998</v>
      </c>
      <c r="V72" s="6">
        <v>7.415</v>
      </c>
      <c r="W72" s="6">
        <v>73.831999999999994</v>
      </c>
      <c r="X72" s="6">
        <v>16.724</v>
      </c>
      <c r="Y72" s="5">
        <v>11175.523499999999</v>
      </c>
      <c r="Z72" s="5">
        <v>18800.164000000001</v>
      </c>
      <c r="AA72" s="5">
        <v>2862.8919999999998</v>
      </c>
      <c r="AB72">
        <f t="shared" si="4"/>
        <v>74.671771480291341</v>
      </c>
      <c r="AC72">
        <f t="shared" si="5"/>
        <v>59.443755384261529</v>
      </c>
      <c r="AD72">
        <f t="shared" si="6"/>
        <v>15.228016096029798</v>
      </c>
      <c r="AE72">
        <f t="shared" si="7"/>
        <v>25.617520288870583</v>
      </c>
    </row>
    <row r="73" spans="1:31" ht="12" x14ac:dyDescent="0.2">
      <c r="A73" s="1">
        <v>2021</v>
      </c>
      <c r="B73" s="5">
        <v>33155.881999999998</v>
      </c>
      <c r="C73" s="5">
        <v>16498.080999999998</v>
      </c>
      <c r="D73" s="5">
        <v>16657.800999999999</v>
      </c>
      <c r="E73" s="6">
        <v>25.901</v>
      </c>
      <c r="F73" s="6">
        <v>99.040999999999997</v>
      </c>
      <c r="G73" s="6">
        <v>28.803000000000001</v>
      </c>
      <c r="H73" s="5">
        <v>235.43100000000001</v>
      </c>
      <c r="I73" s="6">
        <v>7.101</v>
      </c>
      <c r="J73" s="5">
        <v>277.3</v>
      </c>
      <c r="K73" s="7">
        <v>0.83599999999999997</v>
      </c>
      <c r="L73" s="6">
        <v>82.912000000000006</v>
      </c>
      <c r="M73" s="5">
        <v>543.68899999999996</v>
      </c>
      <c r="N73" s="6">
        <v>16.398</v>
      </c>
      <c r="O73" s="7">
        <v>2.0289999999999999</v>
      </c>
      <c r="P73" s="7">
        <v>0.96699999999999997</v>
      </c>
      <c r="Q73" s="6">
        <v>28.763000000000002</v>
      </c>
      <c r="R73" s="5">
        <v>104.1</v>
      </c>
      <c r="S73" s="5">
        <v>308.25799999999998</v>
      </c>
      <c r="T73" s="5">
        <v>172.95400000000001</v>
      </c>
      <c r="U73" s="5">
        <v>135.304</v>
      </c>
      <c r="V73" s="6">
        <v>9.2970000000000006</v>
      </c>
      <c r="W73" s="6">
        <v>71.596000000000004</v>
      </c>
      <c r="X73" s="6">
        <v>15.401999999999999</v>
      </c>
      <c r="Y73" s="5">
        <v>11167.004000000001</v>
      </c>
      <c r="Z73" s="5">
        <v>19086.3815</v>
      </c>
      <c r="AA73" s="5">
        <v>2902.4965000000002</v>
      </c>
      <c r="AB73">
        <f t="shared" si="4"/>
        <v>73.714865753888461</v>
      </c>
      <c r="AC73">
        <f t="shared" si="5"/>
        <v>58.507706135916862</v>
      </c>
      <c r="AD73">
        <f t="shared" si="6"/>
        <v>15.207159617971591</v>
      </c>
      <c r="AE73">
        <f t="shared" si="7"/>
        <v>25.991720787419798</v>
      </c>
    </row>
    <row r="74" spans="1:31" ht="12" x14ac:dyDescent="0.2">
      <c r="A74" s="1">
        <v>2022</v>
      </c>
      <c r="B74" s="5">
        <v>33475.438000000002</v>
      </c>
      <c r="C74" s="5">
        <v>16651.797999999999</v>
      </c>
      <c r="D74" s="5">
        <v>16823.641</v>
      </c>
      <c r="E74" s="6">
        <v>26.151</v>
      </c>
      <c r="F74" s="6">
        <v>98.978999999999999</v>
      </c>
      <c r="G74" s="6">
        <v>29.096</v>
      </c>
      <c r="H74" s="5">
        <v>327.83199999999999</v>
      </c>
      <c r="I74" s="6">
        <v>9.7940000000000005</v>
      </c>
      <c r="J74" s="5">
        <v>361.81200000000001</v>
      </c>
      <c r="K74" s="7">
        <v>1.081</v>
      </c>
      <c r="L74" s="6">
        <v>64.120999999999995</v>
      </c>
      <c r="M74" s="5">
        <v>541.71799999999996</v>
      </c>
      <c r="N74" s="6">
        <v>16.183</v>
      </c>
      <c r="O74" s="7">
        <v>2.004</v>
      </c>
      <c r="P74" s="7">
        <v>0.95599999999999996</v>
      </c>
      <c r="Q74" s="6">
        <v>28.76</v>
      </c>
      <c r="R74" s="5">
        <v>104.1</v>
      </c>
      <c r="S74" s="5">
        <v>213.886</v>
      </c>
      <c r="T74" s="5">
        <v>111.071</v>
      </c>
      <c r="U74" s="5">
        <v>102.815</v>
      </c>
      <c r="V74" s="6">
        <v>6.3890000000000002</v>
      </c>
      <c r="W74" s="6">
        <v>76.834000000000003</v>
      </c>
      <c r="X74" s="6">
        <v>18.236999999999998</v>
      </c>
      <c r="Y74" s="5">
        <v>11154.3205</v>
      </c>
      <c r="Z74" s="5">
        <v>19371.704000000002</v>
      </c>
      <c r="AA74" s="5">
        <v>2949.4135000000001</v>
      </c>
      <c r="AB74">
        <f t="shared" si="4"/>
        <v>72.805851256038196</v>
      </c>
      <c r="AC74">
        <f t="shared" si="5"/>
        <v>57.580481820287979</v>
      </c>
      <c r="AD74">
        <f t="shared" si="6"/>
        <v>15.225369435750205</v>
      </c>
      <c r="AE74">
        <f t="shared" si="7"/>
        <v>26.441893076319623</v>
      </c>
    </row>
    <row r="75" spans="1:31" ht="12" x14ac:dyDescent="0.2">
      <c r="A75" s="1">
        <v>2023</v>
      </c>
      <c r="B75" s="5">
        <v>33845.616999999998</v>
      </c>
      <c r="C75" s="5">
        <v>16835.442999999999</v>
      </c>
      <c r="D75" s="5">
        <v>17010.173999999999</v>
      </c>
      <c r="E75" s="6">
        <v>26.44</v>
      </c>
      <c r="F75" s="6">
        <v>98.972999999999999</v>
      </c>
      <c r="G75" s="6">
        <v>29.451000000000001</v>
      </c>
      <c r="H75" s="5">
        <v>353.762</v>
      </c>
      <c r="I75" s="6">
        <v>10.452999999999999</v>
      </c>
      <c r="J75" s="5">
        <v>378.54599999999999</v>
      </c>
      <c r="K75" s="7">
        <v>1.1180000000000001</v>
      </c>
      <c r="L75" s="6">
        <v>61.999000000000002</v>
      </c>
      <c r="M75" s="5">
        <v>539.62300000000005</v>
      </c>
      <c r="N75" s="6">
        <v>15.944000000000001</v>
      </c>
      <c r="O75" s="7">
        <v>1.98</v>
      </c>
      <c r="P75" s="7">
        <v>0.94499999999999995</v>
      </c>
      <c r="Q75" s="6">
        <v>28.762</v>
      </c>
      <c r="R75" s="5">
        <v>104.1</v>
      </c>
      <c r="S75" s="5">
        <v>185.86099999999999</v>
      </c>
      <c r="T75" s="5">
        <v>102.494</v>
      </c>
      <c r="U75" s="5">
        <v>83.367000000000004</v>
      </c>
      <c r="V75" s="6">
        <v>5.4909999999999997</v>
      </c>
      <c r="W75" s="6">
        <v>77.739999999999995</v>
      </c>
      <c r="X75" s="6">
        <v>19.538</v>
      </c>
      <c r="Y75" s="5">
        <v>11132.1075</v>
      </c>
      <c r="Z75" s="5">
        <v>19669.919999999998</v>
      </c>
      <c r="AA75" s="5">
        <v>3043.5895</v>
      </c>
      <c r="AB75">
        <f t="shared" si="4"/>
        <v>72.067893514564375</v>
      </c>
      <c r="AC75">
        <f t="shared" si="5"/>
        <v>56.594574355157526</v>
      </c>
      <c r="AD75">
        <f t="shared" si="6"/>
        <v>15.47331915940685</v>
      </c>
      <c r="AE75">
        <f t="shared" si="7"/>
        <v>27.340640575021396</v>
      </c>
    </row>
  </sheetData>
  <autoFilter ref="A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697c7c48-04f2-4db9-b0a0-d6e767ff3d0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BD8E9CE4D60409231538D5E1B5B32" ma:contentTypeVersion="26" ma:contentTypeDescription="Create a new document." ma:contentTypeScope="" ma:versionID="5ce7ce46db7874bb68dc9a5d12c5cc05">
  <xsd:schema xmlns:xsd="http://www.w3.org/2001/XMLSchema" xmlns:xs="http://www.w3.org/2001/XMLSchema" xmlns:p="http://schemas.microsoft.com/office/2006/metadata/properties" xmlns:ns2="697c7c48-04f2-4db9-b0a0-d6e767ff3d03" xmlns:ns3="8bde3967-4b29-49c8-add0-1b77de203898" xmlns:ns4="985ec44e-1bab-4c0b-9df0-6ba128686fc9" targetNamespace="http://schemas.microsoft.com/office/2006/metadata/properties" ma:root="true" ma:fieldsID="c2e95488fb6be08b8722e222b3668a5b" ns2:_="" ns3:_="" ns4:_="">
    <xsd:import namespace="697c7c48-04f2-4db9-b0a0-d6e767ff3d03"/>
    <xsd:import namespace="8bde3967-4b29-49c8-add0-1b77de20389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4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c7c48-04f2-4db9-b0a0-d6e767ff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acf1ba7-80ab-4c2a-a2b5-789b82de11d4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F5A523-9CF5-4912-B937-5CC922C8F68D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697c7c48-04f2-4db9-b0a0-d6e767ff3d03"/>
  </ds:schemaRefs>
</ds:datastoreItem>
</file>

<file path=customXml/itemProps2.xml><?xml version="1.0" encoding="utf-8"?>
<ds:datastoreItem xmlns:ds="http://schemas.openxmlformats.org/officeDocument/2006/customXml" ds:itemID="{1A242C98-9175-4BAD-B328-F129D092CD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153C1C-1EB7-420F-93A7-D973067C9C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7c7c48-04f2-4db9-b0a0-d6e767ff3d03"/>
    <ds:schemaRef ds:uri="8bde3967-4b29-49c8-add0-1b77de203898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  <Company>UNHQ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- Population Division</dc:creator>
  <cp:lastModifiedBy>Santos, Alexis R</cp:lastModifiedBy>
  <cp:lastPrinted>2016-08-02T18:30:27Z</cp:lastPrinted>
  <dcterms:created xsi:type="dcterms:W3CDTF">2013-05-23T15:15:55Z</dcterms:created>
  <dcterms:modified xsi:type="dcterms:W3CDTF">2025-09-30T20:36:10Z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ContentTypeId">
    <vt:lpwstr>0x010100C8DBD8E9CE4D60409231538D5E1B5B32</vt:lpwstr>
  </property>
</Properties>
</file>